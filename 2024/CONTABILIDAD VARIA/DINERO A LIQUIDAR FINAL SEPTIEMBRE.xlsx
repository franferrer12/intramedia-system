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30">
      <text>
        <t xml:space="preserve">+20€ de carpe
	-Intra Media</t>
      </text>
    </comment>
  </commentList>
</comments>
</file>

<file path=xl/sharedStrings.xml><?xml version="1.0" encoding="utf-8"?>
<sst xmlns="http://schemas.openxmlformats.org/spreadsheetml/2006/main" count="84" uniqueCount="40">
  <si>
    <t>INGRESOS DJS</t>
  </si>
  <si>
    <t>SEPTIEMBRE</t>
  </si>
  <si>
    <t>VIERNES 20</t>
  </si>
  <si>
    <t>JULIO</t>
  </si>
  <si>
    <t>WHATEVER</t>
  </si>
  <si>
    <t>PABLO</t>
  </si>
  <si>
    <t>SABADO 21</t>
  </si>
  <si>
    <t>CENTICO</t>
  </si>
  <si>
    <t>FALLA DR FERRAN</t>
  </si>
  <si>
    <t>RAFA</t>
  </si>
  <si>
    <t>BODA</t>
  </si>
  <si>
    <t>REPART RESERVA 60€</t>
  </si>
  <si>
    <t>FRAN 60€</t>
  </si>
  <si>
    <t>GABRIEL</t>
  </si>
  <si>
    <t>CHALET</t>
  </si>
  <si>
    <t>FRAN</t>
  </si>
  <si>
    <t>JAUME</t>
  </si>
  <si>
    <t>MARAVIA</t>
  </si>
  <si>
    <t>BAGANU</t>
  </si>
  <si>
    <t>SAUVAGE</t>
  </si>
  <si>
    <t>HECTOR</t>
  </si>
  <si>
    <t>CAFETERÍA CARCA</t>
  </si>
  <si>
    <t>LA GALIANA</t>
  </si>
  <si>
    <t>VIERNES 27</t>
  </si>
  <si>
    <t>BOSS</t>
  </si>
  <si>
    <t>SABADO 28</t>
  </si>
  <si>
    <t>KEVIN</t>
  </si>
  <si>
    <t>SÁBADO 28</t>
  </si>
  <si>
    <t>DJ1</t>
  </si>
  <si>
    <t>OLLERIA</t>
  </si>
  <si>
    <t>RESERVA 90€ ROBERTO</t>
  </si>
  <si>
    <t>DJ2</t>
  </si>
  <si>
    <t>TOTAL</t>
  </si>
  <si>
    <t>NOVIEMBRE</t>
  </si>
  <si>
    <t>ALCUDIA</t>
  </si>
  <si>
    <t>RESERVA 50€ ROB</t>
  </si>
  <si>
    <t>DINERO INVERSOR</t>
  </si>
  <si>
    <t>PAGO 1</t>
  </si>
  <si>
    <t>TOTAL ULTIMA SEMANA SEPTIEMBRE</t>
  </si>
  <si>
    <t>POR PERSONA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</si>
</sst>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\ [$€-1]"/>
    <numFmt numFmtId="165" formatCode="d mmmm"/>
  </numFmts>
  <fonts count="9">
    <font>
      <sz val="10.0"/>
      <color rgb="FF000000"/>
      <name val="Arial"/>
      <scheme val="minor"/>
    </font>
    <font>
      <b/>
      <sz val="12.0"/>
      <color theme="1"/>
      <name val="Arial"/>
    </font>
    <font/>
    <font>
      <b/>
      <color theme="1"/>
      <name val="Arial"/>
    </font>
    <font>
      <color theme="1"/>
      <name val="Arial"/>
    </font>
    <font>
      <b/>
      <sz val="12.0"/>
      <color theme="1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b/>
      <sz val="11.0"/>
      <color theme="1"/>
      <name val="Arial"/>
      <scheme val="minor"/>
    </font>
  </fonts>
  <fills count="12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EAD1DC"/>
        <bgColor rgb="FFEAD1DC"/>
      </patternFill>
    </fill>
    <fill>
      <patternFill patternType="solid">
        <fgColor rgb="FFFFF2CC"/>
        <bgColor rgb="FFFFF2CC"/>
      </patternFill>
    </fill>
    <fill>
      <patternFill patternType="solid">
        <fgColor rgb="FF00FF00"/>
        <bgColor rgb="FF00FF00"/>
      </patternFill>
    </fill>
    <fill>
      <patternFill patternType="solid">
        <fgColor rgb="FFEA9999"/>
        <bgColor rgb="FFEA9999"/>
      </patternFill>
    </fill>
    <fill>
      <patternFill patternType="solid">
        <fgColor rgb="FFD9EAD3"/>
        <bgColor rgb="FFD9EAD3"/>
      </patternFill>
    </fill>
    <fill>
      <patternFill patternType="solid">
        <fgColor rgb="FFD9D2E9"/>
        <bgColor rgb="FFD9D2E9"/>
      </patternFill>
    </fill>
    <fill>
      <patternFill patternType="solid">
        <fgColor rgb="FFFCE5CD"/>
        <bgColor rgb="FFFCE5CD"/>
      </patternFill>
    </fill>
    <fill>
      <patternFill patternType="solid">
        <fgColor rgb="FFEFEFEF"/>
        <bgColor rgb="FFEFEFEF"/>
      </patternFill>
    </fill>
    <fill>
      <patternFill patternType="solid">
        <fgColor rgb="FFFFFF00"/>
        <bgColor rgb="FFFFFF00"/>
      </patternFill>
    </fill>
  </fills>
  <borders count="1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horizontal="center" readingOrder="0" textRotation="90" vertical="center"/>
    </xf>
    <xf borderId="5" fillId="0" fontId="3" numFmtId="0" xfId="0" applyAlignment="1" applyBorder="1" applyFont="1">
      <alignment horizontal="center"/>
    </xf>
    <xf borderId="3" fillId="0" fontId="4" numFmtId="0" xfId="0" applyAlignment="1" applyBorder="1" applyFont="1">
      <alignment horizontal="center" vertical="bottom"/>
    </xf>
    <xf borderId="6" fillId="0" fontId="4" numFmtId="164" xfId="0" applyAlignment="1" applyBorder="1" applyFont="1" applyNumberFormat="1">
      <alignment horizontal="center" vertical="bottom"/>
    </xf>
    <xf borderId="7" fillId="0" fontId="4" numFmtId="164" xfId="0" applyAlignment="1" applyBorder="1" applyFont="1" applyNumberFormat="1">
      <alignment vertical="bottom"/>
    </xf>
    <xf borderId="6" fillId="4" fontId="4" numFmtId="0" xfId="0" applyAlignment="1" applyBorder="1" applyFill="1" applyFont="1">
      <alignment horizontal="center" vertical="bottom"/>
    </xf>
    <xf borderId="7" fillId="0" fontId="2" numFmtId="0" xfId="0" applyBorder="1" applyFont="1"/>
    <xf borderId="5" fillId="0" fontId="4" numFmtId="164" xfId="0" applyAlignment="1" applyBorder="1" applyFont="1" applyNumberFormat="1">
      <alignment vertical="bottom"/>
    </xf>
    <xf borderId="6" fillId="0" fontId="4" numFmtId="164" xfId="0" applyAlignment="1" applyBorder="1" applyFont="1" applyNumberFormat="1">
      <alignment horizontal="center" readingOrder="0" vertical="bottom"/>
    </xf>
    <xf borderId="5" fillId="5" fontId="4" numFmtId="0" xfId="0" applyAlignment="1" applyBorder="1" applyFill="1" applyFont="1">
      <alignment horizontal="center" vertical="bottom"/>
    </xf>
    <xf borderId="5" fillId="4" fontId="4" numFmtId="0" xfId="0" applyAlignment="1" applyBorder="1" applyFont="1">
      <alignment horizontal="center" vertical="bottom"/>
    </xf>
    <xf borderId="5" fillId="0" fontId="4" numFmtId="0" xfId="0" applyAlignment="1" applyBorder="1" applyFont="1">
      <alignment horizontal="center" vertical="bottom"/>
    </xf>
    <xf borderId="8" fillId="0" fontId="4" numFmtId="164" xfId="0" applyAlignment="1" applyBorder="1" applyFont="1" applyNumberFormat="1">
      <alignment horizontal="center"/>
    </xf>
    <xf borderId="8" fillId="4" fontId="4" numFmtId="0" xfId="0" applyAlignment="1" applyBorder="1" applyFont="1">
      <alignment horizontal="center"/>
    </xf>
    <xf borderId="6" fillId="0" fontId="2" numFmtId="0" xfId="0" applyBorder="1" applyFont="1"/>
    <xf borderId="6" fillId="0" fontId="4" numFmtId="164" xfId="0" applyAlignment="1" applyBorder="1" applyFont="1" applyNumberFormat="1">
      <alignment horizontal="center"/>
    </xf>
    <xf borderId="5" fillId="6" fontId="4" numFmtId="0" xfId="0" applyAlignment="1" applyBorder="1" applyFill="1" applyFont="1">
      <alignment horizontal="center" vertical="bottom"/>
    </xf>
    <xf borderId="5" fillId="0" fontId="3" numFmtId="0" xfId="0" applyBorder="1" applyFont="1"/>
    <xf borderId="4" fillId="4" fontId="4" numFmtId="164" xfId="0" applyAlignment="1" applyBorder="1" applyFont="1" applyNumberFormat="1">
      <alignment horizontal="center"/>
    </xf>
    <xf borderId="4" fillId="0" fontId="4" numFmtId="0" xfId="0" applyAlignment="1" applyBorder="1" applyFont="1">
      <alignment vertical="bottom"/>
    </xf>
    <xf borderId="9" fillId="0" fontId="2" numFmtId="0" xfId="0" applyBorder="1" applyFont="1"/>
    <xf borderId="4" fillId="5" fontId="5" numFmtId="0" xfId="0" applyAlignment="1" applyBorder="1" applyFont="1">
      <alignment horizontal="center" readingOrder="0" vertical="center"/>
    </xf>
    <xf borderId="4" fillId="7" fontId="5" numFmtId="164" xfId="0" applyAlignment="1" applyBorder="1" applyFill="1" applyFont="1" applyNumberFormat="1">
      <alignment horizontal="center" vertical="center"/>
    </xf>
    <xf borderId="5" fillId="8" fontId="6" numFmtId="0" xfId="0" applyAlignment="1" applyBorder="1" applyFill="1" applyFont="1">
      <alignment horizontal="center" readingOrder="0"/>
    </xf>
    <xf borderId="5" fillId="0" fontId="3" numFmtId="165" xfId="0" applyAlignment="1" applyBorder="1" applyFont="1" applyNumberFormat="1">
      <alignment horizontal="center"/>
    </xf>
    <xf borderId="5" fillId="0" fontId="4" numFmtId="164" xfId="0" applyAlignment="1" applyBorder="1" applyFont="1" applyNumberFormat="1">
      <alignment horizontal="center" vertical="bottom"/>
    </xf>
    <xf borderId="5" fillId="0" fontId="4" numFmtId="0" xfId="0" applyAlignment="1" applyBorder="1" applyFont="1">
      <alignment vertical="bottom"/>
    </xf>
    <xf borderId="0" fillId="0" fontId="5" numFmtId="0" xfId="0" applyAlignment="1" applyFont="1">
      <alignment horizontal="center" vertical="center"/>
    </xf>
    <xf borderId="5" fillId="5" fontId="5" numFmtId="0" xfId="0" applyAlignment="1" applyBorder="1" applyFont="1">
      <alignment horizontal="center" readingOrder="0" vertical="center"/>
    </xf>
    <xf borderId="5" fillId="7" fontId="5" numFmtId="164" xfId="0" applyAlignment="1" applyBorder="1" applyFont="1" applyNumberFormat="1">
      <alignment horizontal="center" readingOrder="0" vertical="center"/>
    </xf>
    <xf borderId="0" fillId="2" fontId="7" numFmtId="0" xfId="0" applyAlignment="1" applyFont="1">
      <alignment horizontal="center" readingOrder="0"/>
    </xf>
    <xf borderId="1" fillId="9" fontId="5" numFmtId="0" xfId="0" applyAlignment="1" applyBorder="1" applyFill="1" applyFont="1">
      <alignment horizontal="center" readingOrder="0"/>
    </xf>
    <xf borderId="1" fillId="10" fontId="8" numFmtId="164" xfId="0" applyAlignment="1" applyBorder="1" applyFill="1" applyFont="1" applyNumberFormat="1">
      <alignment horizontal="center" readingOrder="0"/>
    </xf>
    <xf borderId="4" fillId="5" fontId="8" numFmtId="164" xfId="0" applyAlignment="1" applyBorder="1" applyFont="1" applyNumberFormat="1">
      <alignment horizontal="center" readingOrder="0" vertical="center"/>
    </xf>
    <xf borderId="4" fillId="7" fontId="8" numFmtId="164" xfId="0" applyAlignment="1" applyBorder="1" applyFont="1" applyNumberFormat="1">
      <alignment horizontal="center" readingOrder="0" vertical="center"/>
    </xf>
    <xf borderId="10" fillId="11" fontId="8" numFmtId="0" xfId="0" applyAlignment="1" applyBorder="1" applyFill="1" applyFont="1">
      <alignment horizontal="center" readingOrder="0" vertical="center"/>
    </xf>
    <xf borderId="11" fillId="0" fontId="2" numFmtId="0" xfId="0" applyBorder="1" applyFont="1"/>
    <xf borderId="12" fillId="0" fontId="2" numFmtId="0" xfId="0" applyBorder="1" applyFont="1"/>
    <xf borderId="4" fillId="11" fontId="8" numFmtId="164" xfId="0" applyAlignment="1" applyBorder="1" applyFont="1" applyNumberFormat="1">
      <alignment horizontal="center" vertical="center"/>
    </xf>
    <xf borderId="13" fillId="0" fontId="2" numFmtId="0" xfId="0" applyBorder="1" applyFont="1"/>
    <xf borderId="14" fillId="0" fontId="2" numFmtId="0" xfId="0" applyBorder="1" applyFont="1"/>
    <xf borderId="1" fillId="2" fontId="8" numFmtId="0" xfId="0" applyAlignment="1" applyBorder="1" applyFont="1">
      <alignment horizontal="center" readingOrder="0"/>
    </xf>
    <xf borderId="5" fillId="5" fontId="8" numFmtId="164" xfId="0" applyAlignment="1" applyBorder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0"/>
    <col customWidth="1" min="4" max="4" width="16.63"/>
    <col customWidth="1" min="7" max="7" width="20.75"/>
  </cols>
  <sheetData>
    <row r="1" ht="28.5" customHeight="1">
      <c r="A1" s="1" t="s">
        <v>0</v>
      </c>
      <c r="B1" s="2"/>
      <c r="C1" s="2"/>
      <c r="D1" s="2"/>
      <c r="E1" s="2"/>
      <c r="F1" s="2"/>
      <c r="G1" s="2"/>
      <c r="H1" s="3"/>
    </row>
    <row r="2">
      <c r="A2" s="4" t="s">
        <v>1</v>
      </c>
      <c r="B2" s="5" t="s">
        <v>2</v>
      </c>
      <c r="C2" s="6" t="s">
        <v>3</v>
      </c>
      <c r="D2" s="7" t="s">
        <v>4</v>
      </c>
      <c r="E2" s="7">
        <v>60.0</v>
      </c>
      <c r="F2" s="7">
        <v>20.0</v>
      </c>
      <c r="G2" s="8"/>
      <c r="H2" s="9" t="s">
        <v>5</v>
      </c>
    </row>
    <row r="3">
      <c r="A3" s="10"/>
      <c r="B3" s="5" t="s">
        <v>6</v>
      </c>
      <c r="C3" s="6" t="s">
        <v>7</v>
      </c>
      <c r="D3" s="7" t="s">
        <v>8</v>
      </c>
      <c r="E3" s="7">
        <v>200.0</v>
      </c>
      <c r="F3" s="7">
        <v>50.0</v>
      </c>
      <c r="G3" s="11"/>
      <c r="H3" s="9" t="s">
        <v>5</v>
      </c>
    </row>
    <row r="4">
      <c r="A4" s="10"/>
      <c r="B4" s="5" t="s">
        <v>6</v>
      </c>
      <c r="C4" s="6" t="s">
        <v>9</v>
      </c>
      <c r="D4" s="7" t="s">
        <v>10</v>
      </c>
      <c r="E4" s="7">
        <v>170.0</v>
      </c>
      <c r="F4" s="12">
        <v>60.0</v>
      </c>
      <c r="G4" s="13" t="s">
        <v>11</v>
      </c>
      <c r="H4" s="9" t="s">
        <v>12</v>
      </c>
    </row>
    <row r="5">
      <c r="A5" s="10"/>
      <c r="B5" s="5" t="s">
        <v>6</v>
      </c>
      <c r="C5" s="6" t="s">
        <v>13</v>
      </c>
      <c r="D5" s="7" t="s">
        <v>14</v>
      </c>
      <c r="E5" s="7">
        <v>170.0</v>
      </c>
      <c r="F5" s="7">
        <v>70.0</v>
      </c>
      <c r="G5" s="11"/>
      <c r="H5" s="14" t="s">
        <v>15</v>
      </c>
    </row>
    <row r="6">
      <c r="A6" s="10"/>
      <c r="B6" s="5" t="s">
        <v>6</v>
      </c>
      <c r="C6" s="6" t="s">
        <v>16</v>
      </c>
      <c r="D6" s="7" t="s">
        <v>4</v>
      </c>
      <c r="E6" s="7">
        <v>60.0</v>
      </c>
      <c r="F6" s="7">
        <v>20.0</v>
      </c>
      <c r="G6" s="11"/>
      <c r="H6" s="9" t="s">
        <v>5</v>
      </c>
    </row>
    <row r="7">
      <c r="A7" s="10"/>
      <c r="B7" s="5" t="s">
        <v>6</v>
      </c>
      <c r="C7" s="15" t="s">
        <v>3</v>
      </c>
      <c r="D7" s="7" t="s">
        <v>17</v>
      </c>
      <c r="E7" s="7">
        <v>50.0</v>
      </c>
      <c r="F7" s="7">
        <v>10.0</v>
      </c>
      <c r="G7" s="11"/>
      <c r="H7" s="9" t="s">
        <v>15</v>
      </c>
    </row>
    <row r="8">
      <c r="A8" s="10"/>
      <c r="B8" s="5" t="s">
        <v>6</v>
      </c>
      <c r="C8" s="15" t="s">
        <v>18</v>
      </c>
      <c r="D8" s="7" t="s">
        <v>19</v>
      </c>
      <c r="E8" s="7">
        <v>55.0</v>
      </c>
      <c r="F8" s="16">
        <v>10.0</v>
      </c>
      <c r="G8" s="11"/>
      <c r="H8" s="17" t="s">
        <v>15</v>
      </c>
    </row>
    <row r="9">
      <c r="A9" s="10"/>
      <c r="B9" s="5" t="s">
        <v>6</v>
      </c>
      <c r="C9" s="15" t="s">
        <v>13</v>
      </c>
      <c r="D9" s="7" t="s">
        <v>19</v>
      </c>
      <c r="E9" s="7">
        <v>55.0</v>
      </c>
      <c r="F9" s="18"/>
      <c r="G9" s="11"/>
      <c r="H9" s="18"/>
    </row>
    <row r="10">
      <c r="A10" s="10"/>
      <c r="B10" s="5" t="s">
        <v>6</v>
      </c>
      <c r="C10" s="15" t="s">
        <v>20</v>
      </c>
      <c r="D10" s="7" t="s">
        <v>21</v>
      </c>
      <c r="E10" s="7">
        <v>90.0</v>
      </c>
      <c r="F10" s="19">
        <v>10.0</v>
      </c>
      <c r="G10" s="11"/>
      <c r="H10" s="20" t="s">
        <v>20</v>
      </c>
    </row>
    <row r="11">
      <c r="A11" s="10"/>
      <c r="B11" s="5" t="s">
        <v>6</v>
      </c>
      <c r="C11" s="15" t="s">
        <v>3</v>
      </c>
      <c r="D11" s="7" t="s">
        <v>22</v>
      </c>
      <c r="E11" s="7">
        <v>110.0</v>
      </c>
      <c r="F11" s="19">
        <v>120.0</v>
      </c>
      <c r="G11" s="11"/>
      <c r="H11" s="20" t="s">
        <v>3</v>
      </c>
    </row>
    <row r="12">
      <c r="A12" s="10"/>
      <c r="B12" s="5" t="s">
        <v>23</v>
      </c>
      <c r="C12" s="15" t="s">
        <v>16</v>
      </c>
      <c r="D12" s="7" t="s">
        <v>4</v>
      </c>
      <c r="E12" s="7">
        <v>60.0</v>
      </c>
      <c r="F12" s="7">
        <v>20.0</v>
      </c>
      <c r="G12" s="11"/>
      <c r="H12" s="9" t="s">
        <v>5</v>
      </c>
    </row>
    <row r="13">
      <c r="A13" s="10"/>
      <c r="B13" s="5" t="s">
        <v>23</v>
      </c>
      <c r="C13" s="15" t="s">
        <v>3</v>
      </c>
      <c r="D13" s="7" t="s">
        <v>24</v>
      </c>
      <c r="E13" s="7">
        <v>90.0</v>
      </c>
      <c r="F13" s="7">
        <v>20.0</v>
      </c>
      <c r="G13" s="11"/>
      <c r="H13" s="9" t="s">
        <v>5</v>
      </c>
    </row>
    <row r="14">
      <c r="A14" s="10"/>
      <c r="B14" s="5" t="s">
        <v>25</v>
      </c>
      <c r="C14" s="15" t="s">
        <v>16</v>
      </c>
      <c r="D14" s="7" t="s">
        <v>17</v>
      </c>
      <c r="E14" s="7">
        <v>50.0</v>
      </c>
      <c r="F14" s="7">
        <v>10.0</v>
      </c>
      <c r="G14" s="11"/>
      <c r="H14" s="9" t="s">
        <v>5</v>
      </c>
    </row>
    <row r="15">
      <c r="A15" s="10"/>
      <c r="B15" s="5" t="s">
        <v>25</v>
      </c>
      <c r="C15" s="15" t="s">
        <v>3</v>
      </c>
      <c r="D15" s="7" t="s">
        <v>4</v>
      </c>
      <c r="E15" s="7">
        <v>60.0</v>
      </c>
      <c r="F15" s="7">
        <v>20.0</v>
      </c>
      <c r="G15" s="11"/>
      <c r="H15" s="9" t="s">
        <v>5</v>
      </c>
    </row>
    <row r="16">
      <c r="A16" s="10"/>
      <c r="B16" s="5" t="s">
        <v>25</v>
      </c>
      <c r="C16" s="15" t="s">
        <v>26</v>
      </c>
      <c r="D16" s="7" t="s">
        <v>19</v>
      </c>
      <c r="E16" s="7">
        <v>75.0</v>
      </c>
      <c r="F16" s="16">
        <f>160-E16-E17</f>
        <v>15</v>
      </c>
      <c r="G16" s="11"/>
      <c r="H16" s="9" t="s">
        <v>5</v>
      </c>
    </row>
    <row r="17">
      <c r="A17" s="10"/>
      <c r="B17" s="5" t="s">
        <v>25</v>
      </c>
      <c r="C17" s="15" t="s">
        <v>15</v>
      </c>
      <c r="D17" s="7" t="s">
        <v>19</v>
      </c>
      <c r="E17" s="7">
        <v>70.0</v>
      </c>
      <c r="F17" s="18"/>
      <c r="G17" s="11"/>
      <c r="H17" s="9" t="s">
        <v>5</v>
      </c>
    </row>
    <row r="18">
      <c r="A18" s="10"/>
      <c r="B18" s="21" t="s">
        <v>27</v>
      </c>
      <c r="C18" s="15" t="s">
        <v>28</v>
      </c>
      <c r="D18" s="16" t="s">
        <v>29</v>
      </c>
      <c r="E18" s="19">
        <v>90.0</v>
      </c>
      <c r="F18" s="16">
        <v>135.0</v>
      </c>
      <c r="G18" s="22" t="s">
        <v>30</v>
      </c>
      <c r="H18" s="23"/>
    </row>
    <row r="19">
      <c r="A19" s="24"/>
      <c r="B19" s="21" t="s">
        <v>27</v>
      </c>
      <c r="C19" s="15" t="s">
        <v>31</v>
      </c>
      <c r="D19" s="18"/>
      <c r="E19" s="19">
        <v>150.0</v>
      </c>
      <c r="F19" s="18"/>
      <c r="G19" s="24"/>
      <c r="H19" s="24"/>
    </row>
    <row r="20">
      <c r="E20" s="25" t="s">
        <v>32</v>
      </c>
      <c r="F20" s="26">
        <f>SUM(F2:F19)</f>
        <v>590</v>
      </c>
    </row>
    <row r="21">
      <c r="E21" s="24"/>
      <c r="F21" s="24"/>
    </row>
    <row r="23">
      <c r="A23" s="1" t="s">
        <v>0</v>
      </c>
      <c r="B23" s="2"/>
      <c r="C23" s="2"/>
      <c r="D23" s="2"/>
      <c r="E23" s="2"/>
      <c r="F23" s="2"/>
      <c r="G23" s="2"/>
      <c r="H23" s="3"/>
    </row>
    <row r="24">
      <c r="A24" s="27" t="s">
        <v>33</v>
      </c>
      <c r="B24" s="28">
        <v>45612.0</v>
      </c>
      <c r="C24" s="15" t="s">
        <v>20</v>
      </c>
      <c r="D24" s="29" t="s">
        <v>34</v>
      </c>
      <c r="E24" s="29">
        <v>180.0</v>
      </c>
      <c r="F24" s="29">
        <v>100.0</v>
      </c>
      <c r="G24" s="14" t="s">
        <v>35</v>
      </c>
      <c r="H24" s="30"/>
    </row>
    <row r="25" ht="24.0" customHeight="1">
      <c r="A25" s="31"/>
      <c r="B25" s="31"/>
      <c r="C25" s="31"/>
      <c r="D25" s="31"/>
      <c r="E25" s="31"/>
      <c r="F25" s="32" t="s">
        <v>32</v>
      </c>
      <c r="G25" s="33">
        <v>50.0</v>
      </c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</row>
    <row r="28" ht="20.25" customHeight="1">
      <c r="A28" s="34" t="s">
        <v>36</v>
      </c>
    </row>
    <row r="29">
      <c r="A29" s="35" t="s">
        <v>37</v>
      </c>
      <c r="B29" s="2"/>
      <c r="C29" s="2"/>
      <c r="D29" s="3"/>
      <c r="E29" s="36">
        <v>750.0</v>
      </c>
      <c r="F29" s="2"/>
      <c r="G29" s="2"/>
      <c r="H29" s="3"/>
    </row>
    <row r="30">
      <c r="D30" s="37" t="s">
        <v>32</v>
      </c>
      <c r="E30" s="38">
        <f>750+20</f>
        <v>770</v>
      </c>
    </row>
    <row r="31">
      <c r="D31" s="24"/>
      <c r="E31" s="24"/>
    </row>
    <row r="35">
      <c r="D35" s="39" t="s">
        <v>38</v>
      </c>
      <c r="E35" s="40"/>
      <c r="F35" s="41"/>
      <c r="G35" s="42">
        <f>E30+F20+G25</f>
        <v>1410</v>
      </c>
    </row>
    <row r="36">
      <c r="D36" s="43"/>
      <c r="E36" s="44"/>
      <c r="F36" s="18"/>
      <c r="G36" s="24"/>
    </row>
    <row r="37">
      <c r="E37" s="45" t="s">
        <v>39</v>
      </c>
      <c r="F37" s="3"/>
      <c r="G37" s="46">
        <f>G35/3</f>
        <v>470</v>
      </c>
    </row>
  </sheetData>
  <mergeCells count="20">
    <mergeCell ref="G18:G19"/>
    <mergeCell ref="H18:H19"/>
    <mergeCell ref="E20:E21"/>
    <mergeCell ref="F20:F21"/>
    <mergeCell ref="A1:H1"/>
    <mergeCell ref="A2:A19"/>
    <mergeCell ref="F8:F9"/>
    <mergeCell ref="H8:H9"/>
    <mergeCell ref="F16:F17"/>
    <mergeCell ref="D18:D19"/>
    <mergeCell ref="F18:F19"/>
    <mergeCell ref="D35:F36"/>
    <mergeCell ref="E37:F37"/>
    <mergeCell ref="A23:H23"/>
    <mergeCell ref="A28:H28"/>
    <mergeCell ref="A29:D29"/>
    <mergeCell ref="E29:H29"/>
    <mergeCell ref="D30:D31"/>
    <mergeCell ref="E30:E31"/>
    <mergeCell ref="G35:G36"/>
  </mergeCells>
  <printOptions horizontalCentered="1"/>
  <pageMargins bottom="0.75" footer="0.0" header="0.0" left="0.7" right="0.7" top="0.75"/>
  <pageSetup fitToHeight="0" paperSize="9" cellComments="atEnd" orientation="portrait" pageOrder="overThenDown"/>
  <drawing r:id="rId2"/>
  <legacyDrawing r:id="rId3"/>
</worksheet>
</file>
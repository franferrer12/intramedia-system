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PTIEMBRE" sheetId="9" r:id="rId12"/>
    <sheet state="visible" name="OCTUBRE" sheetId="10" r:id="rId13"/>
    <sheet state="visible" name="NOVIEMBRE" sheetId="11" r:id="rId14"/>
    <sheet state="visible" name="DICIEMBRE" sheetId="12" r:id="rId15"/>
  </sheets>
  <definedNames/>
  <calcPr/>
  <extLst>
    <ext uri="GoogleSheetsCustomDataVersion2">
      <go:sheetsCustomData xmlns:go="http://customooxmlschemas.google.com/" r:id="rId16" roundtripDataChecksum="zOjhSTHumg2YU34Yx0gdQ8RsRIYzgnkG33xY2HyYs+k="/>
    </ext>
  </extLst>
</workbook>
</file>

<file path=xl/sharedStrings.xml><?xml version="1.0" encoding="utf-8"?>
<sst xmlns="http://schemas.openxmlformats.org/spreadsheetml/2006/main" count="376" uniqueCount="56">
  <si>
    <t>INGRESOS ENERO</t>
  </si>
  <si>
    <t>DESGLOSE</t>
  </si>
  <si>
    <t xml:space="preserve">DÍA </t>
  </si>
  <si>
    <t>DJ</t>
  </si>
  <si>
    <t>UBICACIÓN</t>
  </si>
  <si>
    <t>CANTIDAD</t>
  </si>
  <si>
    <t>AGENCIA</t>
  </si>
  <si>
    <t>RESERVAS</t>
  </si>
  <si>
    <t>ALQUILER</t>
  </si>
  <si>
    <t>MONTAJE</t>
  </si>
  <si>
    <t>TOTAL</t>
  </si>
  <si>
    <t>COBRADO</t>
  </si>
  <si>
    <t>TRANSACCIONADO</t>
  </si>
  <si>
    <t>GASTOS</t>
  </si>
  <si>
    <t>MONTAJES</t>
  </si>
  <si>
    <t>TOTAL LIMPIO</t>
  </si>
  <si>
    <t>SUELDO INDIVIDUAL</t>
  </si>
  <si>
    <t>SUELDO FRAN</t>
  </si>
  <si>
    <t>SUELDO ROBERTO</t>
  </si>
  <si>
    <t>SUELDO PABLO</t>
  </si>
  <si>
    <t>ACUMULADO</t>
  </si>
  <si>
    <t>ACUMULADO TOTAL</t>
  </si>
  <si>
    <t>INGRESOS FEBRERO</t>
  </si>
  <si>
    <t>JULIO</t>
  </si>
  <si>
    <t>CUMPLEAÑOS SAUVAGE</t>
  </si>
  <si>
    <t>INGRESOS MARZO</t>
  </si>
  <si>
    <t>GABRIEL</t>
  </si>
  <si>
    <t>FALLA PLAÇA ALACANT</t>
  </si>
  <si>
    <t>FALLA DOCTOR FERRÁN</t>
  </si>
  <si>
    <t>SACLI</t>
  </si>
  <si>
    <t>GALLERA</t>
  </si>
  <si>
    <t>KEVIN</t>
  </si>
  <si>
    <t>FALLA DOCTOR FERRAN</t>
  </si>
  <si>
    <t>FALLA CAPUTXINS</t>
  </si>
  <si>
    <t>FALLA AUSIAS MARCH (ALZIRA)</t>
  </si>
  <si>
    <t>RAFA POUS</t>
  </si>
  <si>
    <t>CELE</t>
  </si>
  <si>
    <t>FALLA POBLE D´ALGINET</t>
  </si>
  <si>
    <t>FALLA CANTERERIES (ALZIRA)</t>
  </si>
  <si>
    <t>BUGANU</t>
  </si>
  <si>
    <t>FALLA EL PARC (ALZIRA)</t>
  </si>
  <si>
    <t>CENTICO</t>
  </si>
  <si>
    <t>FALLA MESTRE GINER (CARCA)</t>
  </si>
  <si>
    <t>FALLA LLOSA DE RANES</t>
  </si>
  <si>
    <t>SERGIO</t>
  </si>
  <si>
    <t>HECTOR</t>
  </si>
  <si>
    <t>CUMPLEAÑOS REX</t>
  </si>
  <si>
    <t>INGRESOS ABRIL</t>
  </si>
  <si>
    <t>INGRESOS MAYO</t>
  </si>
  <si>
    <t>INGRESOS JUNIO</t>
  </si>
  <si>
    <t>INGRESOS JULIO</t>
  </si>
  <si>
    <t>INGRESOS AGOSTO</t>
  </si>
  <si>
    <t>INGRESOS SEPTIEMBRE</t>
  </si>
  <si>
    <t>INGRESOS OCTUBRE</t>
  </si>
  <si>
    <t>INGRESOS NOVIEMBRE</t>
  </si>
  <si>
    <t>INGRESOS 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</si>
</sst>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#,##0\ [$€-1]"/>
    <numFmt numFmtId="166" formatCode="d mmmm"/>
  </numFmts>
  <fonts count="9">
    <font>
      <sz val="10.0"/>
      <color rgb="FF000000"/>
      <name val="Arial"/>
      <scheme val="minor"/>
    </font>
    <font>
      <b/>
      <sz val="13.0"/>
      <color theme="1"/>
      <name val="Arial"/>
    </font>
    <font/>
    <font>
      <color theme="1"/>
      <name val="Arial"/>
    </font>
    <font>
      <b/>
      <sz val="11.0"/>
      <color theme="1"/>
      <name val="Arial"/>
    </font>
    <font>
      <b/>
      <color theme="1"/>
      <name val="Montserrat"/>
    </font>
    <font>
      <b/>
      <color theme="1"/>
      <name val="Arial"/>
    </font>
    <font>
      <b/>
      <sz val="12.0"/>
      <color theme="1"/>
      <name val="Arial"/>
    </font>
    <font>
      <b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3" fontId="5" numFmtId="0" xfId="0" applyAlignment="1" applyBorder="1" applyFill="1" applyFont="1">
      <alignment horizontal="center"/>
    </xf>
    <xf borderId="11" fillId="3" fontId="5" numFmtId="0" xfId="0" applyAlignment="1" applyBorder="1" applyFont="1">
      <alignment horizontal="center" vertical="bottom"/>
    </xf>
    <xf borderId="6" fillId="3" fontId="5" numFmtId="164" xfId="0" applyAlignment="1" applyBorder="1" applyFont="1" applyNumberFormat="1">
      <alignment horizontal="center" vertical="bottom"/>
    </xf>
    <xf borderId="12" fillId="3" fontId="5" numFmtId="165" xfId="0" applyAlignment="1" applyBorder="1" applyFont="1" applyNumberFormat="1">
      <alignment horizontal="center" vertical="bottom"/>
    </xf>
    <xf borderId="6" fillId="4" fontId="5" numFmtId="165" xfId="0" applyAlignment="1" applyBorder="1" applyFill="1" applyFont="1" applyNumberFormat="1">
      <alignment horizontal="center" vertical="bottom"/>
    </xf>
    <xf borderId="11" fillId="5" fontId="6" numFmtId="165" xfId="0" applyAlignment="1" applyBorder="1" applyFill="1" applyFont="1" applyNumberFormat="1">
      <alignment horizontal="center" vertical="bottom"/>
    </xf>
    <xf borderId="8" fillId="5" fontId="6" numFmtId="165" xfId="0" applyAlignment="1" applyBorder="1" applyFont="1" applyNumberFormat="1">
      <alignment horizontal="center" vertical="bottom"/>
    </xf>
    <xf borderId="11" fillId="0" fontId="3" numFmtId="166" xfId="0" applyBorder="1" applyFont="1" applyNumberFormat="1"/>
    <xf borderId="11" fillId="0" fontId="3" numFmtId="165" xfId="0" applyBorder="1" applyFont="1" applyNumberFormat="1"/>
    <xf borderId="11" fillId="6" fontId="3" numFmtId="165" xfId="0" applyAlignment="1" applyBorder="1" applyFill="1" applyFont="1" applyNumberFormat="1">
      <alignment horizontal="center" vertical="bottom"/>
    </xf>
    <xf borderId="11" fillId="0" fontId="3" numFmtId="165" xfId="0" applyAlignment="1" applyBorder="1" applyFont="1" applyNumberFormat="1">
      <alignment vertical="bottom"/>
    </xf>
    <xf borderId="11" fillId="3" fontId="3" numFmtId="166" xfId="0" applyBorder="1" applyFont="1" applyNumberFormat="1"/>
    <xf borderId="11" fillId="3" fontId="3" numFmtId="165" xfId="0" applyBorder="1" applyFont="1" applyNumberFormat="1"/>
    <xf borderId="11" fillId="3" fontId="3" numFmtId="165" xfId="0" applyAlignment="1" applyBorder="1" applyFont="1" applyNumberFormat="1">
      <alignment vertical="bottom"/>
    </xf>
    <xf borderId="11" fillId="3" fontId="3" numFmtId="0" xfId="0" applyAlignment="1" applyBorder="1" applyFont="1">
      <alignment vertical="bottom"/>
    </xf>
    <xf borderId="11" fillId="0" fontId="3" numFmtId="0" xfId="0" applyBorder="1" applyFont="1"/>
    <xf borderId="11" fillId="7" fontId="3" numFmtId="165" xfId="0" applyBorder="1" applyFill="1" applyFont="1" applyNumberFormat="1"/>
    <xf borderId="11" fillId="3" fontId="3" numFmtId="0" xfId="0" applyAlignment="1" applyBorder="1" applyFont="1">
      <alignment vertical="bottom"/>
    </xf>
    <xf borderId="11" fillId="3" fontId="3" numFmtId="0" xfId="0" applyBorder="1" applyFont="1"/>
    <xf borderId="11" fillId="3" fontId="6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1" fillId="3" fontId="6" numFmtId="0" xfId="0" applyAlignment="1" applyBorder="1" applyFont="1">
      <alignment horizontal="center" vertical="bottom"/>
    </xf>
    <xf borderId="11" fillId="0" fontId="7" numFmtId="165" xfId="0" applyAlignment="1" applyBorder="1" applyFont="1" applyNumberFormat="1">
      <alignment horizontal="center" vertical="bottom"/>
    </xf>
    <xf borderId="11" fillId="0" fontId="4" numFmtId="165" xfId="0" applyAlignment="1" applyBorder="1" applyFont="1" applyNumberFormat="1">
      <alignment horizontal="center" vertical="bottom"/>
    </xf>
    <xf borderId="11" fillId="8" fontId="6" numFmtId="165" xfId="0" applyAlignment="1" applyBorder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11" fillId="9" fontId="8" numFmtId="165" xfId="0" applyAlignment="1" applyBorder="1" applyFill="1" applyFont="1" applyNumberFormat="1">
      <alignment horizontal="center"/>
    </xf>
    <xf borderId="11" fillId="9" fontId="3" numFmtId="165" xfId="0" applyBorder="1" applyFont="1" applyNumberFormat="1"/>
    <xf borderId="7" fillId="10" fontId="6" numFmtId="165" xfId="0" applyAlignment="1" applyBorder="1" applyFill="1" applyFont="1" applyNumberFormat="1">
      <alignment horizontal="center"/>
    </xf>
    <xf borderId="10" fillId="0" fontId="3" numFmtId="165" xfId="0" applyBorder="1" applyFont="1" applyNumberFormat="1"/>
    <xf borderId="7" fillId="11" fontId="6" numFmtId="165" xfId="0" applyAlignment="1" applyBorder="1" applyFill="1" applyFont="1" applyNumberFormat="1">
      <alignment horizontal="center"/>
    </xf>
    <xf borderId="10" fillId="0" fontId="3" numFmtId="165" xfId="0" applyAlignment="1" applyBorder="1" applyFont="1" applyNumberFormat="1">
      <alignment horizontal="center"/>
    </xf>
    <xf borderId="0" fillId="0" fontId="3" numFmtId="165" xfId="0" applyFont="1" applyNumberFormat="1"/>
    <xf borderId="7" fillId="5" fontId="6" numFmtId="165" xfId="0" applyAlignment="1" applyBorder="1" applyFont="1" applyNumberFormat="1">
      <alignment horizontal="center"/>
    </xf>
    <xf borderId="11" fillId="12" fontId="6" numFmtId="165" xfId="0" applyAlignment="1" applyBorder="1" applyFill="1" applyFont="1" applyNumberFormat="1">
      <alignment horizontal="center"/>
    </xf>
    <xf borderId="11" fillId="0" fontId="3" numFmtId="165" xfId="0" applyAlignment="1" applyBorder="1" applyFont="1" applyNumberFormat="1">
      <alignment horizontal="center"/>
    </xf>
    <xf borderId="11" fillId="4" fontId="4" numFmtId="165" xfId="0" applyAlignment="1" applyBorder="1" applyFont="1" applyNumberFormat="1">
      <alignment horizontal="center"/>
    </xf>
    <xf borderId="11" fillId="0" fontId="6" numFmtId="165" xfId="0" applyAlignment="1" applyBorder="1" applyFont="1" applyNumberFormat="1">
      <alignment horizontal="center"/>
    </xf>
    <xf borderId="11" fillId="3" fontId="6" numFmtId="165" xfId="0" applyAlignment="1" applyBorder="1" applyFont="1" applyNumberFormat="1">
      <alignment horizontal="center"/>
    </xf>
    <xf borderId="0" fillId="0" fontId="3" numFmtId="0" xfId="0" applyFont="1"/>
    <xf borderId="11" fillId="0" fontId="6" numFmtId="166" xfId="0" applyAlignment="1" applyBorder="1" applyFont="1" applyNumberFormat="1">
      <alignment horizontal="center"/>
    </xf>
    <xf borderId="11" fillId="0" fontId="3" numFmtId="166" xfId="0" applyAlignment="1" applyBorder="1" applyFont="1" applyNumberFormat="1">
      <alignment horizontal="center"/>
    </xf>
    <xf borderId="11" fillId="3" fontId="6" numFmtId="166" xfId="0" applyAlignment="1" applyBorder="1" applyFont="1" applyNumberFormat="1">
      <alignment horizontal="center"/>
    </xf>
    <xf borderId="11" fillId="3" fontId="3" numFmtId="166" xfId="0" applyAlignment="1" applyBorder="1" applyFont="1" applyNumberFormat="1">
      <alignment horizontal="center"/>
    </xf>
    <xf borderId="11" fillId="3" fontId="3" numFmtId="165" xfId="0" applyAlignment="1" applyBorder="1" applyFont="1" applyNumberFormat="1">
      <alignment horizontal="center"/>
    </xf>
    <xf borderId="11" fillId="0" fontId="6" numFmtId="166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 readingOrder="0"/>
    </xf>
    <xf borderId="11" fillId="0" fontId="3" numFmtId="165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/>
    </xf>
    <xf borderId="11" fillId="7" fontId="3" numFmtId="165" xfId="0" applyAlignment="1" applyBorder="1" applyFont="1" applyNumberFormat="1">
      <alignment horizontal="center"/>
    </xf>
    <xf borderId="11" fillId="0" fontId="6" numFmtId="166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11" fillId="0" fontId="3" numFmtId="165" xfId="0" applyAlignment="1" applyBorder="1" applyFont="1" applyNumberFormat="1">
      <alignment horizontal="center" readingOrder="0" vertical="center"/>
    </xf>
    <xf borderId="11" fillId="0" fontId="3" numFmtId="165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3" fontId="6" numFmtId="166" xfId="0" applyAlignment="1" applyBorder="1" applyFont="1" applyNumberFormat="1">
      <alignment horizontal="center" vertical="center"/>
    </xf>
    <xf borderId="11" fillId="3" fontId="3" numFmtId="166" xfId="0" applyAlignment="1" applyBorder="1" applyFont="1" applyNumberFormat="1">
      <alignment horizontal="center" vertical="center"/>
    </xf>
    <xf borderId="11" fillId="3" fontId="3" numFmtId="165" xfId="0" applyAlignment="1" applyBorder="1" applyFont="1" applyNumberFormat="1">
      <alignment horizontal="center" vertical="center"/>
    </xf>
    <xf borderId="11" fillId="0" fontId="3" numFmtId="166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vertical="bottom"/>
    </xf>
    <xf borderId="11" fillId="0" fontId="6" numFmtId="166" xfId="0" applyAlignment="1" applyBorder="1" applyFont="1" applyNumberFormat="1">
      <alignment horizontal="center" readingOrder="0" vertical="center"/>
    </xf>
    <xf borderId="11" fillId="13" fontId="3" numFmtId="165" xfId="0" applyAlignment="1" applyBorder="1" applyFill="1" applyFont="1" applyNumberFormat="1">
      <alignment horizontal="center" readingOrder="0"/>
    </xf>
    <xf borderId="11" fillId="0" fontId="6" numFmtId="0" xfId="0" applyAlignment="1" applyBorder="1" applyFont="1">
      <alignment horizontal="center" readingOrder="0" vertical="center"/>
    </xf>
    <xf borderId="11" fillId="0" fontId="6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22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3"/>
      <c r="B5" s="54"/>
      <c r="C5" s="54"/>
      <c r="D5" s="48"/>
      <c r="E5" s="48"/>
      <c r="F5" s="48"/>
      <c r="G5" s="48"/>
      <c r="H5" s="48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3"/>
      <c r="B6" s="54"/>
      <c r="C6" s="54"/>
      <c r="D6" s="48"/>
      <c r="E6" s="48"/>
      <c r="F6" s="48"/>
      <c r="G6" s="48"/>
      <c r="H6" s="48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3"/>
      <c r="B7" s="54"/>
      <c r="C7" s="54"/>
      <c r="D7" s="48"/>
      <c r="E7" s="48"/>
      <c r="F7" s="48"/>
      <c r="G7" s="48"/>
      <c r="H7" s="48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5"/>
      <c r="B8" s="56"/>
      <c r="C8" s="56"/>
      <c r="D8" s="57"/>
      <c r="E8" s="57"/>
      <c r="F8" s="57"/>
      <c r="G8" s="57"/>
      <c r="H8" s="57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3"/>
      <c r="B9" s="54"/>
      <c r="C9" s="54"/>
      <c r="D9" s="54"/>
      <c r="E9" s="54"/>
      <c r="F9" s="48"/>
      <c r="G9" s="48"/>
      <c r="H9" s="48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3"/>
      <c r="B10" s="54"/>
      <c r="C10" s="54"/>
      <c r="D10" s="54"/>
      <c r="E10" s="54"/>
      <c r="F10" s="48"/>
      <c r="G10" s="48"/>
      <c r="H10" s="48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3"/>
      <c r="B11" s="54"/>
      <c r="C11" s="54"/>
      <c r="D11" s="48"/>
      <c r="E11" s="48"/>
      <c r="F11" s="48"/>
      <c r="G11" s="48"/>
      <c r="H11" s="48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3"/>
      <c r="B12" s="54"/>
      <c r="C12" s="54"/>
      <c r="D12" s="48"/>
      <c r="E12" s="48"/>
      <c r="F12" s="48"/>
      <c r="G12" s="48"/>
      <c r="H12" s="48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3"/>
      <c r="B13" s="54"/>
      <c r="C13" s="54"/>
      <c r="D13" s="48"/>
      <c r="E13" s="48"/>
      <c r="F13" s="48"/>
      <c r="G13" s="48"/>
      <c r="H13" s="48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5"/>
      <c r="B14" s="56"/>
      <c r="C14" s="56"/>
      <c r="D14" s="57"/>
      <c r="E14" s="57"/>
      <c r="F14" s="57"/>
      <c r="G14" s="57"/>
      <c r="H14" s="57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3"/>
      <c r="B15" s="54"/>
      <c r="C15" s="54"/>
      <c r="D15" s="48"/>
      <c r="E15" s="48"/>
      <c r="F15" s="48"/>
      <c r="G15" s="48"/>
      <c r="H15" s="48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3"/>
      <c r="B16" s="54"/>
      <c r="C16" s="54"/>
      <c r="D16" s="48"/>
      <c r="E16" s="48"/>
      <c r="F16" s="48"/>
      <c r="G16" s="48"/>
      <c r="H16" s="48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3"/>
      <c r="B17" s="54"/>
      <c r="C17" s="54"/>
      <c r="D17" s="48"/>
      <c r="E17" s="48"/>
      <c r="F17" s="48"/>
      <c r="G17" s="48"/>
      <c r="H17" s="48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5"/>
      <c r="B18" s="56"/>
      <c r="C18" s="56"/>
      <c r="D18" s="57"/>
      <c r="E18" s="57"/>
      <c r="F18" s="57"/>
      <c r="G18" s="57"/>
      <c r="H18" s="57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3"/>
      <c r="B19" s="54"/>
      <c r="C19" s="54"/>
      <c r="D19" s="48"/>
      <c r="E19" s="48"/>
      <c r="F19" s="48"/>
      <c r="G19" s="48"/>
      <c r="H19" s="48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3"/>
      <c r="B20" s="54"/>
      <c r="C20" s="54"/>
      <c r="D20" s="48"/>
      <c r="E20" s="48"/>
      <c r="F20" s="48"/>
      <c r="G20" s="48"/>
      <c r="H20" s="48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3"/>
      <c r="B21" s="54"/>
      <c r="C21" s="54"/>
      <c r="D21" s="54"/>
      <c r="E21" s="54"/>
      <c r="F21" s="54"/>
      <c r="G21" s="54"/>
      <c r="H21" s="48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3"/>
      <c r="B22" s="54"/>
      <c r="C22" s="54"/>
      <c r="D22" s="54"/>
      <c r="E22" s="54"/>
      <c r="F22" s="54"/>
      <c r="G22" s="54"/>
      <c r="H22" s="48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5"/>
      <c r="B23" s="56"/>
      <c r="C23" s="56"/>
      <c r="D23" s="57"/>
      <c r="E23" s="57"/>
      <c r="F23" s="57"/>
      <c r="G23" s="57"/>
      <c r="H23" s="57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3"/>
      <c r="B24" s="54"/>
      <c r="C24" s="54"/>
      <c r="D24" s="54"/>
      <c r="E24" s="54"/>
      <c r="F24" s="48"/>
      <c r="G24" s="48"/>
      <c r="H24" s="48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3"/>
      <c r="B25" s="54"/>
      <c r="C25" s="54"/>
      <c r="D25" s="48"/>
      <c r="E25" s="48"/>
      <c r="F25" s="48"/>
      <c r="G25" s="48"/>
      <c r="H25" s="48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3"/>
      <c r="B26" s="54"/>
      <c r="C26" s="54"/>
      <c r="D26" s="48"/>
      <c r="E26" s="48"/>
      <c r="F26" s="48"/>
      <c r="G26" s="48"/>
      <c r="H26" s="48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3"/>
      <c r="B27" s="54"/>
      <c r="C27" s="54"/>
      <c r="D27" s="48"/>
      <c r="E27" s="48"/>
      <c r="F27" s="48"/>
      <c r="G27" s="48"/>
      <c r="H27" s="48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3"/>
      <c r="B28" s="54"/>
      <c r="C28" s="54"/>
      <c r="D28" s="48"/>
      <c r="E28" s="48"/>
      <c r="F28" s="48"/>
      <c r="G28" s="48"/>
      <c r="H28" s="48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5"/>
      <c r="B29" s="56"/>
      <c r="C29" s="56"/>
      <c r="D29" s="57"/>
      <c r="E29" s="57"/>
      <c r="F29" s="57"/>
      <c r="G29" s="57"/>
      <c r="H29" s="57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3"/>
      <c r="B30" s="54"/>
      <c r="C30" s="54"/>
      <c r="D30" s="48"/>
      <c r="E30" s="48"/>
      <c r="F30" s="48"/>
      <c r="G30" s="48"/>
      <c r="H30" s="48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8">
        <v>45701.0</v>
      </c>
      <c r="B31" s="59" t="s">
        <v>23</v>
      </c>
      <c r="C31" s="59" t="s">
        <v>24</v>
      </c>
      <c r="D31" s="60">
        <v>180.0</v>
      </c>
      <c r="E31" s="60">
        <v>20.0</v>
      </c>
      <c r="F31" s="48"/>
      <c r="G31" s="48"/>
      <c r="H31" s="48"/>
      <c r="I31" s="20">
        <f t="shared" si="6"/>
        <v>200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3"/>
      <c r="B32" s="54"/>
      <c r="C32" s="54"/>
      <c r="D32" s="48"/>
      <c r="E32" s="48"/>
      <c r="F32" s="48"/>
      <c r="G32" s="48"/>
      <c r="H32" s="48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5"/>
      <c r="B33" s="56"/>
      <c r="C33" s="56"/>
      <c r="D33" s="57"/>
      <c r="E33" s="57"/>
      <c r="F33" s="57"/>
      <c r="G33" s="57"/>
      <c r="H33" s="57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3"/>
      <c r="B34" s="54"/>
      <c r="C34" s="54"/>
      <c r="D34" s="48"/>
      <c r="E34" s="48"/>
      <c r="F34" s="48"/>
      <c r="G34" s="48"/>
      <c r="H34" s="48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3"/>
      <c r="B35" s="54"/>
      <c r="C35" s="54"/>
      <c r="D35" s="48"/>
      <c r="E35" s="48"/>
      <c r="F35" s="48"/>
      <c r="G35" s="48"/>
      <c r="H35" s="48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3"/>
      <c r="B36" s="54"/>
      <c r="C36" s="54"/>
      <c r="D36" s="48"/>
      <c r="E36" s="48"/>
      <c r="F36" s="48"/>
      <c r="G36" s="48"/>
      <c r="H36" s="48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3"/>
      <c r="B37" s="61"/>
      <c r="C37" s="48"/>
      <c r="D37" s="48"/>
      <c r="E37" s="62"/>
      <c r="F37" s="48"/>
      <c r="G37" s="48"/>
      <c r="H37" s="48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3"/>
      <c r="B38" s="54"/>
      <c r="C38" s="54"/>
      <c r="D38" s="54"/>
      <c r="E38" s="54"/>
      <c r="F38" s="48"/>
      <c r="G38" s="48"/>
      <c r="H38" s="48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3"/>
      <c r="B39" s="54"/>
      <c r="C39" s="54"/>
      <c r="D39" s="54"/>
      <c r="E39" s="54"/>
      <c r="F39" s="48"/>
      <c r="G39" s="48"/>
      <c r="H39" s="48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5"/>
      <c r="B40" s="56"/>
      <c r="C40" s="56"/>
      <c r="D40" s="57"/>
      <c r="E40" s="57"/>
      <c r="F40" s="57"/>
      <c r="G40" s="57"/>
      <c r="H40" s="57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/>
      <c r="B41" s="61"/>
      <c r="C41" s="48"/>
      <c r="D41" s="48"/>
      <c r="E41" s="48"/>
      <c r="F41" s="48"/>
      <c r="G41" s="48"/>
      <c r="H41" s="48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3"/>
      <c r="B42" s="54"/>
      <c r="C42" s="54"/>
      <c r="D42" s="48"/>
      <c r="E42" s="48"/>
      <c r="F42" s="48"/>
      <c r="G42" s="48"/>
      <c r="H42" s="48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3"/>
      <c r="B43" s="54"/>
      <c r="C43" s="54"/>
      <c r="D43" s="48"/>
      <c r="E43" s="48"/>
      <c r="F43" s="48"/>
      <c r="G43" s="48"/>
      <c r="H43" s="48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3"/>
      <c r="B44" s="54"/>
      <c r="C44" s="54"/>
      <c r="D44" s="48"/>
      <c r="E44" s="48"/>
      <c r="F44" s="48"/>
      <c r="G44" s="48"/>
      <c r="H44" s="48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3"/>
      <c r="B45" s="54"/>
      <c r="C45" s="54"/>
      <c r="D45" s="48"/>
      <c r="E45" s="48"/>
      <c r="F45" s="48"/>
      <c r="G45" s="48"/>
      <c r="H45" s="48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5"/>
      <c r="B46" s="56"/>
      <c r="C46" s="56"/>
      <c r="D46" s="57"/>
      <c r="E46" s="57"/>
      <c r="F46" s="57"/>
      <c r="G46" s="57"/>
      <c r="H46" s="57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3"/>
      <c r="B47" s="61"/>
      <c r="C47" s="48"/>
      <c r="D47" s="48"/>
      <c r="E47" s="48"/>
      <c r="F47" s="48"/>
      <c r="G47" s="48"/>
      <c r="H47" s="48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3"/>
      <c r="B48" s="61"/>
      <c r="C48" s="61"/>
      <c r="D48" s="48"/>
      <c r="E48" s="48"/>
      <c r="F48" s="48"/>
      <c r="G48" s="48"/>
      <c r="H48" s="48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53"/>
      <c r="B49" s="54"/>
      <c r="C49" s="54"/>
      <c r="D49" s="48"/>
      <c r="E49" s="48"/>
      <c r="F49" s="48"/>
      <c r="G49" s="48"/>
      <c r="H49" s="48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3"/>
      <c r="B50" s="54"/>
      <c r="C50" s="54"/>
      <c r="D50" s="48"/>
      <c r="E50" s="48"/>
      <c r="F50" s="48"/>
      <c r="G50" s="48"/>
      <c r="H50" s="48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55"/>
      <c r="B51" s="56"/>
      <c r="C51" s="56"/>
      <c r="D51" s="57"/>
      <c r="E51" s="57"/>
      <c r="F51" s="57"/>
      <c r="G51" s="57"/>
      <c r="H51" s="57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3"/>
      <c r="B52" s="61"/>
      <c r="C52" s="61"/>
      <c r="D52" s="48"/>
      <c r="E52" s="48"/>
      <c r="F52" s="48"/>
      <c r="G52" s="48"/>
      <c r="H52" s="48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3"/>
      <c r="B53" s="61"/>
      <c r="C53" s="61"/>
      <c r="D53" s="48"/>
      <c r="E53" s="48"/>
      <c r="F53" s="48"/>
      <c r="G53" s="48"/>
      <c r="H53" s="48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3"/>
      <c r="B54" s="61"/>
      <c r="C54" s="61"/>
      <c r="D54" s="48"/>
      <c r="E54" s="48"/>
      <c r="F54" s="48"/>
      <c r="G54" s="48"/>
      <c r="H54" s="48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3"/>
      <c r="B55" s="61"/>
      <c r="C55" s="61"/>
      <c r="D55" s="48"/>
      <c r="E55" s="48"/>
      <c r="F55" s="48"/>
      <c r="G55" s="48"/>
      <c r="H55" s="48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3"/>
      <c r="B56" s="54"/>
      <c r="C56" s="54"/>
      <c r="D56" s="54"/>
      <c r="E56" s="54"/>
      <c r="F56" s="48"/>
      <c r="G56" s="48"/>
      <c r="H56" s="48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3"/>
      <c r="B57" s="54"/>
      <c r="C57" s="54"/>
      <c r="D57" s="54"/>
      <c r="E57" s="54"/>
      <c r="F57" s="48"/>
      <c r="G57" s="48"/>
      <c r="H57" s="48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180</v>
      </c>
      <c r="E59" s="36">
        <f>SUM(E5:E57)</f>
        <v>20</v>
      </c>
      <c r="F59" s="31"/>
      <c r="G59" s="31"/>
      <c r="H59" s="37" t="s">
        <v>12</v>
      </c>
      <c r="I59" s="36">
        <f>SUM(I5:I57)+H58</f>
        <v>200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20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5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-15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15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15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D1003" s="45"/>
      <c r="E1003" s="45"/>
      <c r="F1003" s="45"/>
      <c r="G1003" s="45"/>
      <c r="H1003" s="45"/>
    </row>
    <row r="1004" ht="15.75" customHeight="1">
      <c r="D1004" s="45"/>
      <c r="E1004" s="45"/>
      <c r="F1004" s="45"/>
      <c r="G1004" s="45"/>
      <c r="H1004" s="45"/>
    </row>
    <row r="1005" ht="15.75" customHeight="1">
      <c r="D1005" s="45"/>
      <c r="E1005" s="45"/>
      <c r="F1005" s="45"/>
      <c r="G1005" s="45"/>
      <c r="H1005" s="45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30.5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  <col customWidth="1" min="9" max="9" width="10.63"/>
  </cols>
  <sheetData>
    <row r="1" ht="15.75" customHeight="1">
      <c r="A1" s="1" t="s">
        <v>25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3"/>
      <c r="B5" s="54"/>
      <c r="C5" s="54"/>
      <c r="D5" s="48"/>
      <c r="E5" s="48"/>
      <c r="F5" s="48"/>
      <c r="G5" s="48"/>
      <c r="H5" s="48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3"/>
      <c r="B6" s="54"/>
      <c r="C6" s="54"/>
      <c r="D6" s="48"/>
      <c r="E6" s="48"/>
      <c r="F6" s="48"/>
      <c r="G6" s="48"/>
      <c r="H6" s="48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3"/>
      <c r="B7" s="54"/>
      <c r="C7" s="54"/>
      <c r="D7" s="48"/>
      <c r="E7" s="48"/>
      <c r="F7" s="48"/>
      <c r="G7" s="48"/>
      <c r="H7" s="48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5"/>
      <c r="B8" s="56"/>
      <c r="C8" s="56"/>
      <c r="D8" s="57"/>
      <c r="E8" s="57"/>
      <c r="F8" s="57"/>
      <c r="G8" s="57"/>
      <c r="H8" s="57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3"/>
      <c r="B9" s="54"/>
      <c r="C9" s="54"/>
      <c r="D9" s="54"/>
      <c r="E9" s="54"/>
      <c r="F9" s="48"/>
      <c r="G9" s="48"/>
      <c r="H9" s="48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3"/>
      <c r="B10" s="54"/>
      <c r="C10" s="54"/>
      <c r="D10" s="54"/>
      <c r="E10" s="54"/>
      <c r="F10" s="48"/>
      <c r="G10" s="48"/>
      <c r="H10" s="48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3">
        <v>45723.0</v>
      </c>
      <c r="B11" s="64" t="s">
        <v>26</v>
      </c>
      <c r="C11" s="65" t="s">
        <v>27</v>
      </c>
      <c r="D11" s="66"/>
      <c r="E11" s="66"/>
      <c r="F11" s="48"/>
      <c r="G11" s="48"/>
      <c r="H11" s="48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3">
        <v>45723.0</v>
      </c>
      <c r="B12" s="54" t="s">
        <v>23</v>
      </c>
      <c r="C12" s="54" t="s">
        <v>28</v>
      </c>
      <c r="D12" s="48">
        <v>200.0</v>
      </c>
      <c r="E12" s="48">
        <v>70.0</v>
      </c>
      <c r="F12" s="48"/>
      <c r="G12" s="48"/>
      <c r="H12" s="48"/>
      <c r="I12" s="20">
        <f t="shared" si="2"/>
        <v>270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3">
        <v>45723.0</v>
      </c>
      <c r="B13" s="67" t="s">
        <v>29</v>
      </c>
      <c r="C13" s="67" t="s">
        <v>30</v>
      </c>
      <c r="D13" s="66">
        <v>200.0</v>
      </c>
      <c r="E13" s="66">
        <v>50.0</v>
      </c>
      <c r="F13" s="48"/>
      <c r="G13" s="48"/>
      <c r="H13" s="48"/>
      <c r="I13" s="20">
        <f t="shared" si="2"/>
        <v>250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68"/>
      <c r="B14" s="69"/>
      <c r="C14" s="69"/>
      <c r="D14" s="70"/>
      <c r="E14" s="70"/>
      <c r="F14" s="57"/>
      <c r="G14" s="57"/>
      <c r="H14" s="57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3"/>
      <c r="B15" s="71"/>
      <c r="C15" s="71"/>
      <c r="D15" s="66"/>
      <c r="E15" s="66"/>
      <c r="F15" s="48"/>
      <c r="G15" s="48"/>
      <c r="H15" s="48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3">
        <v>45729.0</v>
      </c>
      <c r="B16" s="67" t="s">
        <v>31</v>
      </c>
      <c r="C16" s="67" t="s">
        <v>32</v>
      </c>
      <c r="D16" s="66">
        <v>220.0</v>
      </c>
      <c r="E16" s="66">
        <v>50.0</v>
      </c>
      <c r="F16" s="48"/>
      <c r="G16" s="48"/>
      <c r="H16" s="48"/>
      <c r="I16" s="20">
        <f t="shared" si="3"/>
        <v>270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3">
        <v>45729.0</v>
      </c>
      <c r="B17" s="67" t="s">
        <v>26</v>
      </c>
      <c r="C17" s="67" t="s">
        <v>33</v>
      </c>
      <c r="D17" s="66">
        <v>230.0</v>
      </c>
      <c r="E17" s="66">
        <v>150.0</v>
      </c>
      <c r="F17" s="48"/>
      <c r="G17" s="48"/>
      <c r="H17" s="48"/>
      <c r="I17" s="20">
        <f t="shared" si="3"/>
        <v>380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8"/>
      <c r="B18" s="69"/>
      <c r="C18" s="69"/>
      <c r="D18" s="70"/>
      <c r="E18" s="70"/>
      <c r="F18" s="57"/>
      <c r="G18" s="57"/>
      <c r="H18" s="57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3"/>
      <c r="B19" s="71"/>
      <c r="C19" s="71"/>
      <c r="D19" s="66"/>
      <c r="E19" s="66"/>
      <c r="F19" s="48"/>
      <c r="G19" s="48"/>
      <c r="H19" s="48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3">
        <v>45730.0</v>
      </c>
      <c r="B20" s="67" t="s">
        <v>31</v>
      </c>
      <c r="C20" s="67" t="s">
        <v>34</v>
      </c>
      <c r="D20" s="66">
        <v>180.0</v>
      </c>
      <c r="E20" s="66">
        <v>90.0</v>
      </c>
      <c r="F20" s="48"/>
      <c r="G20" s="48"/>
      <c r="H20" s="48"/>
      <c r="I20" s="20">
        <f t="shared" si="4"/>
        <v>270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3">
        <v>45730.0</v>
      </c>
      <c r="B21" s="67" t="s">
        <v>35</v>
      </c>
      <c r="C21" s="67" t="s">
        <v>32</v>
      </c>
      <c r="D21" s="66">
        <v>220.0</v>
      </c>
      <c r="E21" s="66">
        <v>50.0</v>
      </c>
      <c r="F21" s="54"/>
      <c r="G21" s="54"/>
      <c r="H21" s="48"/>
      <c r="I21" s="20">
        <f t="shared" si="4"/>
        <v>270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3"/>
      <c r="B22" s="71"/>
      <c r="C22" s="71"/>
      <c r="D22" s="66"/>
      <c r="E22" s="66"/>
      <c r="F22" s="54"/>
      <c r="G22" s="54"/>
      <c r="H22" s="48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8"/>
      <c r="B23" s="69"/>
      <c r="C23" s="69"/>
      <c r="D23" s="70"/>
      <c r="E23" s="70"/>
      <c r="F23" s="57"/>
      <c r="G23" s="57"/>
      <c r="H23" s="57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3">
        <v>45732.0</v>
      </c>
      <c r="B24" s="67" t="s">
        <v>36</v>
      </c>
      <c r="C24" s="67" t="s">
        <v>37</v>
      </c>
      <c r="D24" s="66">
        <v>220.0</v>
      </c>
      <c r="E24" s="66">
        <v>80.0</v>
      </c>
      <c r="F24" s="48"/>
      <c r="G24" s="48"/>
      <c r="H24" s="48"/>
      <c r="I24" s="20">
        <f t="shared" ref="I24:I25" si="5">D24+E24</f>
        <v>300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3">
        <v>45732.0</v>
      </c>
      <c r="B25" s="67" t="s">
        <v>23</v>
      </c>
      <c r="C25" s="67" t="s">
        <v>32</v>
      </c>
      <c r="D25" s="66">
        <v>220.0</v>
      </c>
      <c r="E25" s="66">
        <v>70.0</v>
      </c>
      <c r="F25" s="48"/>
      <c r="G25" s="48"/>
      <c r="H25" s="48"/>
      <c r="I25" s="20">
        <f t="shared" si="5"/>
        <v>290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8"/>
      <c r="B26" s="69"/>
      <c r="C26" s="69"/>
      <c r="D26" s="70"/>
      <c r="E26" s="70"/>
      <c r="F26" s="57"/>
      <c r="G26" s="57"/>
      <c r="H26" s="57"/>
      <c r="I26" s="24"/>
      <c r="J26" s="2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3">
        <v>45733.0</v>
      </c>
      <c r="B27" s="67" t="s">
        <v>31</v>
      </c>
      <c r="C27" s="67" t="s">
        <v>38</v>
      </c>
      <c r="D27" s="66">
        <v>220.0</v>
      </c>
      <c r="E27" s="66">
        <v>50.0</v>
      </c>
      <c r="F27" s="48"/>
      <c r="G27" s="48"/>
      <c r="H27" s="48"/>
      <c r="I27" s="20">
        <f t="shared" ref="I27:I33" si="6">D27+E27</f>
        <v>270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3">
        <v>45733.0</v>
      </c>
      <c r="B28" s="67" t="s">
        <v>35</v>
      </c>
      <c r="C28" s="67" t="s">
        <v>32</v>
      </c>
      <c r="D28" s="66">
        <v>220.0</v>
      </c>
      <c r="E28" s="66">
        <v>70.0</v>
      </c>
      <c r="F28" s="48"/>
      <c r="G28" s="48"/>
      <c r="H28" s="48"/>
      <c r="I28" s="20">
        <f t="shared" si="6"/>
        <v>290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3">
        <v>45733.0</v>
      </c>
      <c r="B29" s="67" t="s">
        <v>39</v>
      </c>
      <c r="C29" s="67" t="s">
        <v>40</v>
      </c>
      <c r="D29" s="66">
        <v>270.0</v>
      </c>
      <c r="E29" s="66">
        <v>60.0</v>
      </c>
      <c r="F29" s="48"/>
      <c r="G29" s="48"/>
      <c r="H29" s="48"/>
      <c r="I29" s="20">
        <f t="shared" si="6"/>
        <v>330</v>
      </c>
      <c r="J29" s="7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3">
        <v>45733.0</v>
      </c>
      <c r="B30" s="67" t="s">
        <v>41</v>
      </c>
      <c r="C30" s="67" t="s">
        <v>42</v>
      </c>
      <c r="D30" s="66">
        <v>135.0</v>
      </c>
      <c r="E30" s="66">
        <v>35.0</v>
      </c>
      <c r="F30" s="48"/>
      <c r="G30" s="48"/>
      <c r="H30" s="48"/>
      <c r="I30" s="20">
        <f t="shared" si="6"/>
        <v>170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3">
        <v>45733.0</v>
      </c>
      <c r="B31" s="67" t="s">
        <v>41</v>
      </c>
      <c r="C31" s="67" t="s">
        <v>43</v>
      </c>
      <c r="D31" s="66">
        <v>270.0</v>
      </c>
      <c r="E31" s="66">
        <v>30.0</v>
      </c>
      <c r="F31" s="48"/>
      <c r="G31" s="48"/>
      <c r="H31" s="48"/>
      <c r="I31" s="20">
        <f t="shared" si="6"/>
        <v>300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3">
        <v>45733.0</v>
      </c>
      <c r="B32" s="64" t="s">
        <v>23</v>
      </c>
      <c r="C32" s="65" t="s">
        <v>27</v>
      </c>
      <c r="D32" s="66"/>
      <c r="E32" s="66"/>
      <c r="F32" s="48"/>
      <c r="G32" s="48"/>
      <c r="H32" s="48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3">
        <v>45733.0</v>
      </c>
      <c r="B33" s="67" t="s">
        <v>26</v>
      </c>
      <c r="C33" s="67" t="s">
        <v>30</v>
      </c>
      <c r="D33" s="66">
        <v>220.0</v>
      </c>
      <c r="E33" s="66">
        <v>60.0</v>
      </c>
      <c r="F33" s="48"/>
      <c r="G33" s="48"/>
      <c r="H33" s="48"/>
      <c r="I33" s="20">
        <f t="shared" si="6"/>
        <v>280</v>
      </c>
      <c r="J33" s="7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8"/>
      <c r="B34" s="69"/>
      <c r="C34" s="69"/>
      <c r="D34" s="70"/>
      <c r="E34" s="70"/>
      <c r="F34" s="57"/>
      <c r="G34" s="57"/>
      <c r="H34" s="57"/>
      <c r="I34" s="24"/>
      <c r="J34" s="2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3">
        <v>45734.0</v>
      </c>
      <c r="B35" s="67" t="s">
        <v>41</v>
      </c>
      <c r="C35" s="67" t="s">
        <v>37</v>
      </c>
      <c r="D35" s="66">
        <v>220.0</v>
      </c>
      <c r="E35" s="66">
        <v>80.0</v>
      </c>
      <c r="F35" s="48"/>
      <c r="G35" s="48"/>
      <c r="H35" s="48"/>
      <c r="I35" s="20">
        <f t="shared" ref="I35:I39" si="7">D35+E35</f>
        <v>300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3">
        <v>45734.0</v>
      </c>
      <c r="B36" s="67" t="s">
        <v>31</v>
      </c>
      <c r="C36" s="67" t="s">
        <v>30</v>
      </c>
      <c r="D36" s="66">
        <v>220.0</v>
      </c>
      <c r="E36" s="66">
        <v>60.0</v>
      </c>
      <c r="F36" s="48"/>
      <c r="G36" s="48"/>
      <c r="H36" s="48"/>
      <c r="I36" s="20">
        <f t="shared" si="7"/>
        <v>280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3">
        <v>45734.0</v>
      </c>
      <c r="B37" s="67" t="s">
        <v>23</v>
      </c>
      <c r="C37" s="67" t="s">
        <v>40</v>
      </c>
      <c r="D37" s="66">
        <v>260.0</v>
      </c>
      <c r="E37" s="66">
        <v>70.0</v>
      </c>
      <c r="F37" s="48"/>
      <c r="G37" s="48"/>
      <c r="H37" s="48"/>
      <c r="I37" s="20">
        <f t="shared" si="7"/>
        <v>330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3">
        <v>45734.0</v>
      </c>
      <c r="B38" s="67" t="s">
        <v>26</v>
      </c>
      <c r="C38" s="67" t="s">
        <v>32</v>
      </c>
      <c r="D38" s="66">
        <v>220.0</v>
      </c>
      <c r="E38" s="66">
        <v>70.0</v>
      </c>
      <c r="F38" s="48"/>
      <c r="G38" s="48"/>
      <c r="H38" s="48"/>
      <c r="I38" s="20">
        <f t="shared" si="7"/>
        <v>290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3">
        <v>45734.0</v>
      </c>
      <c r="B39" s="67" t="s">
        <v>44</v>
      </c>
      <c r="C39" s="67" t="s">
        <v>38</v>
      </c>
      <c r="D39" s="66">
        <v>210.0</v>
      </c>
      <c r="E39" s="66">
        <v>50.0</v>
      </c>
      <c r="F39" s="48"/>
      <c r="G39" s="48"/>
      <c r="H39" s="48"/>
      <c r="I39" s="20">
        <f t="shared" si="7"/>
        <v>260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5"/>
      <c r="B40" s="56"/>
      <c r="C40" s="56"/>
      <c r="D40" s="57"/>
      <c r="E40" s="57"/>
      <c r="F40" s="57"/>
      <c r="G40" s="57"/>
      <c r="H40" s="57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/>
      <c r="B41" s="61"/>
      <c r="C41" s="48"/>
      <c r="D41" s="48"/>
      <c r="E41" s="48"/>
      <c r="F41" s="48"/>
      <c r="G41" s="48"/>
      <c r="H41" s="48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3"/>
      <c r="B42" s="54"/>
      <c r="C42" s="54"/>
      <c r="D42" s="48"/>
      <c r="E42" s="48"/>
      <c r="F42" s="48"/>
      <c r="G42" s="48"/>
      <c r="H42" s="48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3"/>
      <c r="B43" s="54"/>
      <c r="C43" s="54"/>
      <c r="D43" s="48"/>
      <c r="E43" s="48"/>
      <c r="F43" s="48"/>
      <c r="G43" s="48"/>
      <c r="H43" s="48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3"/>
      <c r="B44" s="54"/>
      <c r="C44" s="54"/>
      <c r="D44" s="48"/>
      <c r="E44" s="48"/>
      <c r="F44" s="48"/>
      <c r="G44" s="48"/>
      <c r="H44" s="48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3"/>
      <c r="B45" s="54"/>
      <c r="C45" s="54"/>
      <c r="D45" s="48"/>
      <c r="E45" s="48"/>
      <c r="F45" s="48"/>
      <c r="G45" s="48"/>
      <c r="H45" s="48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5"/>
      <c r="B46" s="56"/>
      <c r="C46" s="56"/>
      <c r="D46" s="57"/>
      <c r="E46" s="57"/>
      <c r="F46" s="57"/>
      <c r="G46" s="57"/>
      <c r="H46" s="57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3"/>
      <c r="B47" s="61"/>
      <c r="C47" s="48"/>
      <c r="D47" s="48"/>
      <c r="E47" s="48"/>
      <c r="F47" s="48"/>
      <c r="G47" s="48"/>
      <c r="H47" s="48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8">
        <v>45737.0</v>
      </c>
      <c r="B48" s="59" t="s">
        <v>45</v>
      </c>
      <c r="C48" s="59" t="s">
        <v>46</v>
      </c>
      <c r="D48" s="60">
        <v>250.0</v>
      </c>
      <c r="E48" s="60">
        <v>200.0</v>
      </c>
      <c r="F48" s="74">
        <v>100.0</v>
      </c>
      <c r="G48" s="48"/>
      <c r="H48" s="48"/>
      <c r="I48" s="20">
        <f t="shared" si="9"/>
        <v>450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53"/>
      <c r="B49" s="54"/>
      <c r="C49" s="54"/>
      <c r="D49" s="48"/>
      <c r="E49" s="48"/>
      <c r="F49" s="48"/>
      <c r="G49" s="48"/>
      <c r="H49" s="48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3"/>
      <c r="B50" s="54"/>
      <c r="C50" s="54"/>
      <c r="D50" s="48"/>
      <c r="E50" s="48"/>
      <c r="F50" s="48"/>
      <c r="G50" s="48"/>
      <c r="H50" s="48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33"/>
    </row>
    <row r="51" ht="32.25" customHeight="1">
      <c r="A51" s="55"/>
      <c r="B51" s="56"/>
      <c r="C51" s="56"/>
      <c r="D51" s="57"/>
      <c r="E51" s="57"/>
      <c r="F51" s="57"/>
      <c r="G51" s="57"/>
      <c r="H51" s="57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3"/>
      <c r="B52" s="61"/>
      <c r="C52" s="61"/>
      <c r="D52" s="48"/>
      <c r="E52" s="48"/>
      <c r="F52" s="48"/>
      <c r="G52" s="48"/>
      <c r="H52" s="48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3"/>
      <c r="B53" s="61"/>
      <c r="C53" s="61"/>
      <c r="D53" s="48"/>
      <c r="E53" s="48"/>
      <c r="F53" s="48"/>
      <c r="G53" s="48"/>
      <c r="H53" s="48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3"/>
      <c r="B54" s="61"/>
      <c r="C54" s="61"/>
      <c r="D54" s="48"/>
      <c r="E54" s="48"/>
      <c r="F54" s="48"/>
      <c r="G54" s="48"/>
      <c r="H54" s="48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3"/>
      <c r="B55" s="61"/>
      <c r="C55" s="61"/>
      <c r="D55" s="48"/>
      <c r="E55" s="48"/>
      <c r="F55" s="48"/>
      <c r="G55" s="48"/>
      <c r="H55" s="48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3"/>
      <c r="B56" s="54"/>
      <c r="C56" s="54"/>
      <c r="D56" s="54"/>
      <c r="E56" s="54"/>
      <c r="F56" s="48"/>
      <c r="G56" s="48"/>
      <c r="H56" s="48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3"/>
      <c r="B57" s="54"/>
      <c r="C57" s="54"/>
      <c r="D57" s="54"/>
      <c r="E57" s="54"/>
      <c r="F57" s="48"/>
      <c r="G57" s="48"/>
      <c r="H57" s="48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4405</v>
      </c>
      <c r="E59" s="36">
        <f>SUM(E5:E57)</f>
        <v>1445</v>
      </c>
      <c r="F59" s="31"/>
      <c r="G59" s="31"/>
      <c r="H59" s="37" t="s">
        <v>12</v>
      </c>
      <c r="I59" s="36">
        <f>SUM(I5:I57)+H58</f>
        <v>5850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1445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361.25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341.25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371.25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371.25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D1003" s="45"/>
      <c r="E1003" s="45"/>
      <c r="F1003" s="45"/>
      <c r="G1003" s="45"/>
      <c r="H1003" s="45"/>
    </row>
    <row r="1004" ht="15.75" customHeight="1">
      <c r="D1004" s="45"/>
      <c r="E1004" s="45"/>
      <c r="F1004" s="45"/>
      <c r="G1004" s="45"/>
      <c r="H1004" s="45"/>
    </row>
    <row r="1005" ht="15.75" customHeight="1">
      <c r="D1005" s="45"/>
      <c r="E1005" s="45"/>
      <c r="F1005" s="45"/>
      <c r="G1005" s="45"/>
      <c r="H1005" s="45"/>
    </row>
    <row r="1006" ht="15.75" customHeight="1">
      <c r="D1006" s="45"/>
      <c r="E1006" s="45"/>
      <c r="F1006" s="45"/>
      <c r="G1006" s="45"/>
      <c r="H1006" s="45"/>
    </row>
    <row r="1007" ht="15.75" customHeight="1">
      <c r="D1007" s="45"/>
      <c r="E1007" s="45"/>
      <c r="F1007" s="45"/>
      <c r="G1007" s="45"/>
      <c r="H1007" s="45"/>
    </row>
    <row r="1008" ht="15.75" customHeight="1">
      <c r="D1008" s="45"/>
      <c r="E1008" s="45"/>
      <c r="F1008" s="45"/>
      <c r="G1008" s="45"/>
      <c r="H1008" s="45"/>
    </row>
    <row r="1009" ht="15.75" customHeight="1">
      <c r="D1009" s="45"/>
      <c r="E1009" s="45"/>
      <c r="F1009" s="45"/>
      <c r="G1009" s="45"/>
      <c r="H1009" s="45"/>
    </row>
    <row r="1010" ht="15.75" customHeight="1">
      <c r="D1010" s="45"/>
      <c r="E1010" s="45"/>
      <c r="F1010" s="45"/>
      <c r="G1010" s="45"/>
      <c r="H1010" s="45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3">
        <v>45723.0</v>
      </c>
      <c r="B15" s="75" t="s">
        <v>26</v>
      </c>
      <c r="C15" s="65" t="s">
        <v>27</v>
      </c>
      <c r="D15" s="76"/>
      <c r="E15" s="76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3">
        <v>45723.0</v>
      </c>
      <c r="B16" s="54" t="s">
        <v>23</v>
      </c>
      <c r="C16" s="54" t="s">
        <v>28</v>
      </c>
      <c r="D16" s="48">
        <v>200.0</v>
      </c>
      <c r="E16" s="48">
        <v>70.0</v>
      </c>
      <c r="F16" s="19"/>
      <c r="G16" s="19"/>
      <c r="H16" s="19"/>
      <c r="I16" s="20">
        <f t="shared" si="3"/>
        <v>270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3">
        <v>45723.0</v>
      </c>
      <c r="B17" s="67" t="s">
        <v>29</v>
      </c>
      <c r="C17" s="67" t="s">
        <v>30</v>
      </c>
      <c r="D17" s="66">
        <v>200.0</v>
      </c>
      <c r="E17" s="66">
        <v>50.0</v>
      </c>
      <c r="F17" s="19"/>
      <c r="G17" s="19"/>
      <c r="H17" s="19"/>
      <c r="I17" s="20">
        <f t="shared" si="3"/>
        <v>250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8"/>
      <c r="B18" s="69"/>
      <c r="C18" s="69"/>
      <c r="D18" s="70"/>
      <c r="E18" s="70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3"/>
      <c r="B19" s="71"/>
      <c r="C19" s="71"/>
      <c r="D19" s="66"/>
      <c r="E19" s="66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3">
        <v>45729.0</v>
      </c>
      <c r="B20" s="67" t="s">
        <v>31</v>
      </c>
      <c r="C20" s="67" t="s">
        <v>32</v>
      </c>
      <c r="D20" s="66">
        <v>220.0</v>
      </c>
      <c r="E20" s="66">
        <v>50.0</v>
      </c>
      <c r="F20" s="19"/>
      <c r="G20" s="19"/>
      <c r="H20" s="19"/>
      <c r="I20" s="20">
        <f t="shared" si="4"/>
        <v>270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3">
        <v>45729.0</v>
      </c>
      <c r="B21" s="67" t="s">
        <v>26</v>
      </c>
      <c r="C21" s="67" t="s">
        <v>33</v>
      </c>
      <c r="D21" s="66">
        <v>230.0</v>
      </c>
      <c r="E21" s="66">
        <v>150.0</v>
      </c>
      <c r="F21" s="18"/>
      <c r="G21" s="18"/>
      <c r="H21" s="19"/>
      <c r="I21" s="20">
        <f t="shared" si="4"/>
        <v>380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8"/>
      <c r="B22" s="69"/>
      <c r="C22" s="69"/>
      <c r="D22" s="70"/>
      <c r="E22" s="70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3"/>
      <c r="B23" s="71"/>
      <c r="C23" s="71"/>
      <c r="D23" s="66"/>
      <c r="E23" s="66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3">
        <v>45730.0</v>
      </c>
      <c r="B24" s="67" t="s">
        <v>31</v>
      </c>
      <c r="C24" s="67" t="s">
        <v>34</v>
      </c>
      <c r="D24" s="66">
        <v>180.0</v>
      </c>
      <c r="E24" s="66">
        <v>90.0</v>
      </c>
      <c r="F24" s="19"/>
      <c r="G24" s="19"/>
      <c r="H24" s="19"/>
      <c r="I24" s="20">
        <f t="shared" ref="I24:I28" si="5">D24+E24</f>
        <v>270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3">
        <v>45730.0</v>
      </c>
      <c r="B25" s="67" t="s">
        <v>35</v>
      </c>
      <c r="C25" s="67" t="s">
        <v>32</v>
      </c>
      <c r="D25" s="66">
        <v>220.0</v>
      </c>
      <c r="E25" s="66">
        <v>50.0</v>
      </c>
      <c r="F25" s="19"/>
      <c r="G25" s="19"/>
      <c r="H25" s="19"/>
      <c r="I25" s="20">
        <f t="shared" si="5"/>
        <v>270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8"/>
      <c r="B26" s="69"/>
      <c r="C26" s="69"/>
      <c r="D26" s="70"/>
      <c r="E26" s="70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3"/>
      <c r="B27" s="71"/>
      <c r="C27" s="71"/>
      <c r="D27" s="66"/>
      <c r="E27" s="66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3">
        <v>45732.0</v>
      </c>
      <c r="B28" s="67" t="s">
        <v>36</v>
      </c>
      <c r="C28" s="67" t="s">
        <v>37</v>
      </c>
      <c r="D28" s="66">
        <v>220.0</v>
      </c>
      <c r="E28" s="66">
        <v>80.0</v>
      </c>
      <c r="F28" s="19"/>
      <c r="G28" s="19"/>
      <c r="H28" s="19"/>
      <c r="I28" s="20">
        <f t="shared" si="5"/>
        <v>300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3">
        <v>45732.0</v>
      </c>
      <c r="B29" s="67" t="s">
        <v>23</v>
      </c>
      <c r="C29" s="67" t="s">
        <v>32</v>
      </c>
      <c r="D29" s="66">
        <v>220.0</v>
      </c>
      <c r="E29" s="66">
        <v>70.0</v>
      </c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8"/>
      <c r="B30" s="69"/>
      <c r="C30" s="69"/>
      <c r="D30" s="70"/>
      <c r="E30" s="70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3">
        <v>45733.0</v>
      </c>
      <c r="B31" s="67" t="s">
        <v>31</v>
      </c>
      <c r="C31" s="67" t="s">
        <v>38</v>
      </c>
      <c r="D31" s="66">
        <v>220.0</v>
      </c>
      <c r="E31" s="66">
        <v>50.0</v>
      </c>
      <c r="F31" s="19"/>
      <c r="G31" s="19"/>
      <c r="H31" s="19"/>
      <c r="I31" s="20">
        <f t="shared" si="6"/>
        <v>270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3">
        <v>45733.0</v>
      </c>
      <c r="B32" s="67" t="s">
        <v>35</v>
      </c>
      <c r="C32" s="67" t="s">
        <v>32</v>
      </c>
      <c r="D32" s="66">
        <v>220.0</v>
      </c>
      <c r="E32" s="66">
        <v>70.0</v>
      </c>
      <c r="F32" s="19"/>
      <c r="G32" s="19"/>
      <c r="H32" s="19"/>
      <c r="I32" s="20">
        <f t="shared" si="6"/>
        <v>290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3">
        <v>45733.0</v>
      </c>
      <c r="B33" s="67" t="s">
        <v>39</v>
      </c>
      <c r="C33" s="67" t="s">
        <v>40</v>
      </c>
      <c r="D33" s="66">
        <v>270.0</v>
      </c>
      <c r="E33" s="66">
        <v>60.0</v>
      </c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3">
        <v>45733.0</v>
      </c>
      <c r="B34" s="67" t="s">
        <v>41</v>
      </c>
      <c r="C34" s="67" t="s">
        <v>42</v>
      </c>
      <c r="D34" s="66">
        <v>135.0</v>
      </c>
      <c r="E34" s="66">
        <v>35.0</v>
      </c>
      <c r="F34" s="19"/>
      <c r="G34" s="19"/>
      <c r="H34" s="19"/>
      <c r="I34" s="20">
        <f t="shared" ref="I34:I39" si="7">D34+E34</f>
        <v>170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3">
        <v>45733.0</v>
      </c>
      <c r="B35" s="67" t="s">
        <v>41</v>
      </c>
      <c r="C35" s="67" t="s">
        <v>43</v>
      </c>
      <c r="D35" s="66">
        <v>270.0</v>
      </c>
      <c r="E35" s="66">
        <v>30.0</v>
      </c>
      <c r="F35" s="19"/>
      <c r="G35" s="19"/>
      <c r="H35" s="19"/>
      <c r="I35" s="20">
        <f t="shared" si="7"/>
        <v>300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3">
        <v>45733.0</v>
      </c>
      <c r="B36" s="64" t="s">
        <v>23</v>
      </c>
      <c r="C36" s="65" t="s">
        <v>27</v>
      </c>
      <c r="D36" s="66"/>
      <c r="E36" s="66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3">
        <v>45733.0</v>
      </c>
      <c r="B37" s="67" t="s">
        <v>26</v>
      </c>
      <c r="C37" s="67" t="s">
        <v>30</v>
      </c>
      <c r="D37" s="66">
        <v>220.0</v>
      </c>
      <c r="E37" s="66">
        <v>60.0</v>
      </c>
      <c r="F37" s="19"/>
      <c r="G37" s="19"/>
      <c r="H37" s="19"/>
      <c r="I37" s="20">
        <f t="shared" si="7"/>
        <v>280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8"/>
      <c r="B38" s="69"/>
      <c r="C38" s="69"/>
      <c r="D38" s="70"/>
      <c r="E38" s="70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3">
        <v>45734.0</v>
      </c>
      <c r="B39" s="67" t="s">
        <v>41</v>
      </c>
      <c r="C39" s="67" t="s">
        <v>37</v>
      </c>
      <c r="D39" s="66">
        <v>220.0</v>
      </c>
      <c r="E39" s="66">
        <v>80.0</v>
      </c>
      <c r="F39" s="19"/>
      <c r="G39" s="19"/>
      <c r="H39" s="19"/>
      <c r="I39" s="20">
        <f t="shared" si="7"/>
        <v>300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3">
        <v>45734.0</v>
      </c>
      <c r="B40" s="67" t="s">
        <v>31</v>
      </c>
      <c r="C40" s="67" t="s">
        <v>30</v>
      </c>
      <c r="D40" s="66">
        <v>220.0</v>
      </c>
      <c r="E40" s="66">
        <v>60.0</v>
      </c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3">
        <v>45734.0</v>
      </c>
      <c r="B41" s="67" t="s">
        <v>23</v>
      </c>
      <c r="C41" s="67" t="s">
        <v>40</v>
      </c>
      <c r="D41" s="66">
        <v>260.0</v>
      </c>
      <c r="E41" s="66">
        <v>70.0</v>
      </c>
      <c r="F41" s="19"/>
      <c r="G41" s="19"/>
      <c r="H41" s="19"/>
      <c r="I41" s="20">
        <f t="shared" ref="I41:I45" si="8">D41+E41</f>
        <v>330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3">
        <v>45734.0</v>
      </c>
      <c r="B42" s="67" t="s">
        <v>26</v>
      </c>
      <c r="C42" s="67" t="s">
        <v>32</v>
      </c>
      <c r="D42" s="66">
        <v>220.0</v>
      </c>
      <c r="E42" s="66">
        <v>70.0</v>
      </c>
      <c r="F42" s="19"/>
      <c r="G42" s="19"/>
      <c r="H42" s="19"/>
      <c r="I42" s="20">
        <f t="shared" si="8"/>
        <v>290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3">
        <v>45734.0</v>
      </c>
      <c r="B43" s="67" t="s">
        <v>44</v>
      </c>
      <c r="C43" s="67" t="s">
        <v>38</v>
      </c>
      <c r="D43" s="66">
        <v>210.0</v>
      </c>
      <c r="E43" s="66">
        <v>50.0</v>
      </c>
      <c r="F43" s="19"/>
      <c r="G43" s="19"/>
      <c r="H43" s="19"/>
      <c r="I43" s="20">
        <f t="shared" si="8"/>
        <v>260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63"/>
      <c r="B44" s="67"/>
      <c r="C44" s="66"/>
      <c r="D44" s="66"/>
      <c r="E44" s="66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4155</v>
      </c>
      <c r="E59" s="36">
        <f>SUM(E5:E57)</f>
        <v>1245</v>
      </c>
      <c r="F59" s="31"/>
      <c r="G59" s="31"/>
      <c r="H59" s="37" t="s">
        <v>12</v>
      </c>
      <c r="I59" s="36">
        <f>SUM(I5:I57)+H58</f>
        <v>4500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1245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311.25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291.25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321.25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321.25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48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50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51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52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8.75"/>
  </cols>
  <sheetData>
    <row r="1" ht="15.75" customHeight="1">
      <c r="A1" s="1" t="s">
        <v>55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2</v>
      </c>
      <c r="B4" s="12" t="s">
        <v>3</v>
      </c>
      <c r="C4" s="13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8"/>
      <c r="C5" s="18"/>
      <c r="D5" s="19"/>
      <c r="E5" s="19"/>
      <c r="F5" s="19"/>
      <c r="G5" s="19"/>
      <c r="H5" s="19"/>
      <c r="I5" s="20">
        <f t="shared" ref="I5:I7" si="1">D5+E5</f>
        <v>0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/>
      <c r="B6" s="18"/>
      <c r="C6" s="18"/>
      <c r="D6" s="19"/>
      <c r="E6" s="19"/>
      <c r="F6" s="19"/>
      <c r="G6" s="19"/>
      <c r="H6" s="19"/>
      <c r="I6" s="20">
        <f t="shared" si="1"/>
        <v>0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8"/>
      <c r="C7" s="18"/>
      <c r="D7" s="19"/>
      <c r="E7" s="19"/>
      <c r="F7" s="19"/>
      <c r="G7" s="19"/>
      <c r="H7" s="19"/>
      <c r="I7" s="20">
        <f t="shared" si="1"/>
        <v>0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"/>
      <c r="B8" s="22"/>
      <c r="C8" s="22"/>
      <c r="D8" s="23"/>
      <c r="E8" s="23"/>
      <c r="F8" s="23"/>
      <c r="G8" s="23"/>
      <c r="H8" s="23"/>
      <c r="I8" s="24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8"/>
      <c r="C9" s="18"/>
      <c r="D9" s="18"/>
      <c r="E9" s="18"/>
      <c r="F9" s="19"/>
      <c r="G9" s="19"/>
      <c r="H9" s="19"/>
      <c r="I9" s="20">
        <f t="shared" ref="I9:I13" si="2">D9+E9</f>
        <v>0</v>
      </c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8"/>
      <c r="B10" s="18"/>
      <c r="C10" s="18"/>
      <c r="D10" s="18"/>
      <c r="E10" s="18"/>
      <c r="F10" s="19"/>
      <c r="G10" s="19"/>
      <c r="H10" s="19"/>
      <c r="I10" s="20">
        <f t="shared" si="2"/>
        <v>0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8"/>
      <c r="C11" s="18"/>
      <c r="D11" s="19"/>
      <c r="E11" s="19"/>
      <c r="F11" s="19"/>
      <c r="G11" s="19"/>
      <c r="H11" s="19"/>
      <c r="I11" s="20">
        <f t="shared" si="2"/>
        <v>0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"/>
      <c r="B12" s="18"/>
      <c r="C12" s="18"/>
      <c r="D12" s="19"/>
      <c r="E12" s="19"/>
      <c r="F12" s="19"/>
      <c r="G12" s="19"/>
      <c r="H12" s="19"/>
      <c r="I12" s="20">
        <f t="shared" si="2"/>
        <v>0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8"/>
      <c r="C13" s="18"/>
      <c r="D13" s="19"/>
      <c r="E13" s="19"/>
      <c r="F13" s="19"/>
      <c r="G13" s="19"/>
      <c r="H13" s="19"/>
      <c r="I13" s="20">
        <f t="shared" si="2"/>
        <v>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"/>
      <c r="B14" s="22"/>
      <c r="C14" s="22"/>
      <c r="D14" s="23"/>
      <c r="E14" s="23"/>
      <c r="F14" s="23"/>
      <c r="G14" s="23"/>
      <c r="H14" s="23"/>
      <c r="I14" s="24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18"/>
      <c r="C15" s="18"/>
      <c r="D15" s="19"/>
      <c r="E15" s="19"/>
      <c r="F15" s="19"/>
      <c r="G15" s="19"/>
      <c r="H15" s="19"/>
      <c r="I15" s="20">
        <f t="shared" ref="I15:I17" si="3">D15+E15</f>
        <v>0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18"/>
      <c r="C16" s="18"/>
      <c r="D16" s="19"/>
      <c r="E16" s="19"/>
      <c r="F16" s="19"/>
      <c r="G16" s="19"/>
      <c r="H16" s="19"/>
      <c r="I16" s="20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18"/>
      <c r="C17" s="18"/>
      <c r="D17" s="19"/>
      <c r="E17" s="19"/>
      <c r="F17" s="19"/>
      <c r="G17" s="19"/>
      <c r="H17" s="19"/>
      <c r="I17" s="20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3"/>
      <c r="E18" s="23"/>
      <c r="F18" s="23"/>
      <c r="G18" s="23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9"/>
      <c r="E19" s="19"/>
      <c r="F19" s="19"/>
      <c r="G19" s="19"/>
      <c r="H19" s="19"/>
      <c r="I19" s="20">
        <f t="shared" ref="I19:I22" si="4">D19+E19</f>
        <v>0</v>
      </c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8"/>
      <c r="B20" s="18"/>
      <c r="C20" s="18"/>
      <c r="D20" s="19"/>
      <c r="E20" s="19"/>
      <c r="F20" s="19"/>
      <c r="G20" s="19"/>
      <c r="H20" s="19"/>
      <c r="I20" s="20">
        <f t="shared" si="4"/>
        <v>0</v>
      </c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/>
      <c r="B21" s="18"/>
      <c r="C21" s="18"/>
      <c r="D21" s="18"/>
      <c r="E21" s="18"/>
      <c r="F21" s="18"/>
      <c r="G21" s="18"/>
      <c r="H21" s="19"/>
      <c r="I21" s="20">
        <f t="shared" si="4"/>
        <v>0</v>
      </c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9"/>
      <c r="I22" s="20">
        <f t="shared" si="4"/>
        <v>0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3"/>
      <c r="E23" s="23"/>
      <c r="F23" s="23"/>
      <c r="G23" s="23"/>
      <c r="H23" s="23"/>
      <c r="I23" s="24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/>
      <c r="B24" s="18"/>
      <c r="C24" s="18"/>
      <c r="D24" s="18"/>
      <c r="E24" s="18"/>
      <c r="F24" s="19"/>
      <c r="G24" s="19"/>
      <c r="H24" s="19"/>
      <c r="I24" s="20">
        <f t="shared" ref="I24:I28" si="5">D24+E24</f>
        <v>0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/>
      <c r="B25" s="18"/>
      <c r="C25" s="18"/>
      <c r="D25" s="19"/>
      <c r="E25" s="19"/>
      <c r="F25" s="19"/>
      <c r="G25" s="19"/>
      <c r="H25" s="19"/>
      <c r="I25" s="20">
        <f t="shared" si="5"/>
        <v>0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/>
      <c r="B26" s="18"/>
      <c r="C26" s="18"/>
      <c r="D26" s="19"/>
      <c r="E26" s="19"/>
      <c r="F26" s="19"/>
      <c r="G26" s="19"/>
      <c r="H26" s="19"/>
      <c r="I26" s="20">
        <f t="shared" si="5"/>
        <v>0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/>
      <c r="B27" s="18"/>
      <c r="C27" s="18"/>
      <c r="D27" s="19"/>
      <c r="E27" s="19"/>
      <c r="F27" s="19"/>
      <c r="G27" s="19"/>
      <c r="H27" s="19"/>
      <c r="I27" s="20">
        <f t="shared" si="5"/>
        <v>0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/>
      <c r="B28" s="18"/>
      <c r="C28" s="18"/>
      <c r="D28" s="19"/>
      <c r="E28" s="19"/>
      <c r="F28" s="19"/>
      <c r="G28" s="19"/>
      <c r="H28" s="19"/>
      <c r="I28" s="20">
        <f t="shared" si="5"/>
        <v>0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3"/>
      <c r="E29" s="23"/>
      <c r="F29" s="23"/>
      <c r="G29" s="23"/>
      <c r="H29" s="23"/>
      <c r="I29" s="24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19"/>
      <c r="E30" s="19"/>
      <c r="F30" s="19"/>
      <c r="G30" s="19"/>
      <c r="H30" s="19"/>
      <c r="I30" s="20">
        <f t="shared" ref="I30:I32" si="6">D30+E30</f>
        <v>0</v>
      </c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9"/>
      <c r="E31" s="19"/>
      <c r="F31" s="19"/>
      <c r="G31" s="19"/>
      <c r="H31" s="19"/>
      <c r="I31" s="20">
        <f t="shared" si="6"/>
        <v>0</v>
      </c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9"/>
      <c r="E32" s="19"/>
      <c r="F32" s="19"/>
      <c r="G32" s="19"/>
      <c r="H32" s="19"/>
      <c r="I32" s="20">
        <f t="shared" si="6"/>
        <v>0</v>
      </c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3"/>
      <c r="E33" s="23"/>
      <c r="F33" s="23"/>
      <c r="G33" s="23"/>
      <c r="H33" s="23"/>
      <c r="I33" s="24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/>
      <c r="B34" s="18"/>
      <c r="C34" s="18"/>
      <c r="D34" s="19"/>
      <c r="E34" s="19"/>
      <c r="F34" s="19"/>
      <c r="G34" s="19"/>
      <c r="H34" s="19"/>
      <c r="I34" s="20">
        <f t="shared" ref="I34:I39" si="7">D34+E34</f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/>
      <c r="B35" s="18"/>
      <c r="C35" s="18"/>
      <c r="D35" s="19"/>
      <c r="E35" s="19"/>
      <c r="F35" s="19"/>
      <c r="G35" s="19"/>
      <c r="H35" s="19"/>
      <c r="I35" s="20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/>
      <c r="B36" s="18"/>
      <c r="C36" s="18"/>
      <c r="D36" s="19"/>
      <c r="E36" s="19"/>
      <c r="F36" s="19"/>
      <c r="G36" s="19"/>
      <c r="H36" s="19"/>
      <c r="I36" s="20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/>
      <c r="B37" s="26"/>
      <c r="C37" s="19"/>
      <c r="D37" s="19"/>
      <c r="E37" s="27"/>
      <c r="F37" s="19"/>
      <c r="G37" s="19"/>
      <c r="H37" s="19"/>
      <c r="I37" s="20">
        <f t="shared" si="7"/>
        <v>0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/>
      <c r="B38" s="18"/>
      <c r="C38" s="18"/>
      <c r="D38" s="18"/>
      <c r="E38" s="18"/>
      <c r="F38" s="19"/>
      <c r="G38" s="19"/>
      <c r="H38" s="19"/>
      <c r="I38" s="20">
        <f t="shared" si="7"/>
        <v>0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18"/>
      <c r="E39" s="18"/>
      <c r="F39" s="19"/>
      <c r="G39" s="19"/>
      <c r="H39" s="19"/>
      <c r="I39" s="20">
        <f t="shared" si="7"/>
        <v>0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3"/>
      <c r="E40" s="23"/>
      <c r="F40" s="23"/>
      <c r="G40" s="23"/>
      <c r="H40" s="23"/>
      <c r="I40" s="2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/>
      <c r="B41" s="26"/>
      <c r="C41" s="19"/>
      <c r="D41" s="19"/>
      <c r="E41" s="19"/>
      <c r="F41" s="19"/>
      <c r="G41" s="19"/>
      <c r="H41" s="19"/>
      <c r="I41" s="20">
        <f t="shared" ref="I41:I45" si="8">D41+E41</f>
        <v>0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/>
      <c r="B42" s="18"/>
      <c r="C42" s="18"/>
      <c r="D42" s="19"/>
      <c r="E42" s="19"/>
      <c r="F42" s="19"/>
      <c r="G42" s="19"/>
      <c r="H42" s="19"/>
      <c r="I42" s="20">
        <f t="shared" si="8"/>
        <v>0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/>
      <c r="B43" s="18"/>
      <c r="C43" s="18"/>
      <c r="D43" s="19"/>
      <c r="E43" s="19"/>
      <c r="F43" s="19"/>
      <c r="G43" s="19"/>
      <c r="H43" s="19"/>
      <c r="I43" s="20">
        <f t="shared" si="8"/>
        <v>0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19"/>
      <c r="I44" s="20">
        <f t="shared" si="8"/>
        <v>0</v>
      </c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/>
      <c r="B45" s="18"/>
      <c r="C45" s="18"/>
      <c r="D45" s="19"/>
      <c r="E45" s="19"/>
      <c r="F45" s="19"/>
      <c r="G45" s="19"/>
      <c r="H45" s="19"/>
      <c r="I45" s="20">
        <f t="shared" si="8"/>
        <v>0</v>
      </c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3"/>
      <c r="E46" s="23"/>
      <c r="F46" s="23"/>
      <c r="G46" s="23"/>
      <c r="H46" s="23"/>
      <c r="I46" s="2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/>
      <c r="B47" s="26"/>
      <c r="C47" s="19"/>
      <c r="D47" s="19"/>
      <c r="E47" s="19"/>
      <c r="F47" s="19"/>
      <c r="G47" s="19"/>
      <c r="H47" s="19"/>
      <c r="I47" s="20">
        <f t="shared" ref="I47:I50" si="9">D47+E47</f>
        <v>0</v>
      </c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/>
      <c r="B48" s="26"/>
      <c r="C48" s="26"/>
      <c r="D48" s="19"/>
      <c r="E48" s="19"/>
      <c r="F48" s="19"/>
      <c r="G48" s="19"/>
      <c r="H48" s="19"/>
      <c r="I48" s="20">
        <f t="shared" si="9"/>
        <v>0</v>
      </c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/>
      <c r="B49" s="18"/>
      <c r="C49" s="18"/>
      <c r="D49" s="19"/>
      <c r="E49" s="19"/>
      <c r="F49" s="19"/>
      <c r="G49" s="19"/>
      <c r="H49" s="19"/>
      <c r="I49" s="20">
        <f t="shared" si="9"/>
        <v>0</v>
      </c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/>
      <c r="B50" s="18"/>
      <c r="C50" s="18"/>
      <c r="D50" s="19"/>
      <c r="E50" s="19"/>
      <c r="F50" s="19"/>
      <c r="G50" s="19"/>
      <c r="H50" s="19"/>
      <c r="I50" s="20">
        <f t="shared" si="9"/>
        <v>0</v>
      </c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/>
      <c r="B51" s="22"/>
      <c r="C51" s="22"/>
      <c r="D51" s="23"/>
      <c r="E51" s="23"/>
      <c r="F51" s="23"/>
      <c r="G51" s="23"/>
      <c r="H51" s="23"/>
      <c r="I51" s="24"/>
      <c r="J51" s="2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/>
      <c r="B52" s="26"/>
      <c r="C52" s="26"/>
      <c r="D52" s="19"/>
      <c r="E52" s="19"/>
      <c r="F52" s="19"/>
      <c r="G52" s="19"/>
      <c r="H52" s="19"/>
      <c r="I52" s="20">
        <f t="shared" ref="I52:I57" si="10">D52+E52</f>
        <v>0</v>
      </c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/>
      <c r="B53" s="26"/>
      <c r="C53" s="26"/>
      <c r="D53" s="19"/>
      <c r="E53" s="19"/>
      <c r="F53" s="19"/>
      <c r="G53" s="19"/>
      <c r="H53" s="19"/>
      <c r="I53" s="20">
        <f t="shared" si="10"/>
        <v>0</v>
      </c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/>
      <c r="B54" s="26"/>
      <c r="C54" s="26"/>
      <c r="D54" s="19"/>
      <c r="E54" s="19"/>
      <c r="F54" s="19"/>
      <c r="G54" s="19"/>
      <c r="H54" s="19"/>
      <c r="I54" s="20">
        <f t="shared" si="10"/>
        <v>0</v>
      </c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/>
      <c r="B55" s="26"/>
      <c r="C55" s="26"/>
      <c r="D55" s="19"/>
      <c r="E55" s="19"/>
      <c r="F55" s="19"/>
      <c r="G55" s="19"/>
      <c r="H55" s="19"/>
      <c r="I55" s="20">
        <f t="shared" si="10"/>
        <v>0</v>
      </c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/>
      <c r="B56" s="18"/>
      <c r="C56" s="18"/>
      <c r="D56" s="18"/>
      <c r="E56" s="18"/>
      <c r="F56" s="19"/>
      <c r="G56" s="19"/>
      <c r="H56" s="19"/>
      <c r="I56" s="20">
        <f t="shared" si="10"/>
        <v>0</v>
      </c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/>
      <c r="B57" s="18"/>
      <c r="C57" s="18"/>
      <c r="D57" s="18"/>
      <c r="E57" s="18"/>
      <c r="F57" s="19"/>
      <c r="G57" s="19"/>
      <c r="H57" s="19"/>
      <c r="I57" s="20">
        <f t="shared" si="10"/>
        <v>0</v>
      </c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/>
      <c r="B58" s="25"/>
      <c r="C58" s="25"/>
      <c r="D58" s="24"/>
      <c r="E58" s="24"/>
      <c r="F58" s="24"/>
      <c r="G58" s="30">
        <f t="shared" ref="G58:H58" si="11">SUM(G2:G57)</f>
        <v>0</v>
      </c>
      <c r="H58" s="30">
        <f t="shared" si="11"/>
        <v>0</v>
      </c>
      <c r="I58" s="2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34" t="s">
        <v>10</v>
      </c>
      <c r="D59" s="35">
        <f>SUM(D5:D49)</f>
        <v>0</v>
      </c>
      <c r="E59" s="36">
        <f>SUM(E5:E57)</f>
        <v>0</v>
      </c>
      <c r="F59" s="31"/>
      <c r="G59" s="31"/>
      <c r="H59" s="37" t="s">
        <v>12</v>
      </c>
      <c r="I59" s="36">
        <f>SUM(I5:I57)+H58</f>
        <v>0</v>
      </c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38"/>
      <c r="D61" s="39" t="s">
        <v>13</v>
      </c>
      <c r="E61" s="40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/>
      <c r="B62" s="33"/>
      <c r="C62" s="33"/>
      <c r="D62" s="41" t="s">
        <v>14</v>
      </c>
      <c r="E62" s="4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33"/>
      <c r="D63" s="43" t="s">
        <v>8</v>
      </c>
      <c r="E63" s="44">
        <f>G58</f>
        <v>0</v>
      </c>
      <c r="F63" s="31"/>
      <c r="G63" s="45"/>
      <c r="H63" s="45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/>
      <c r="B64" s="33"/>
      <c r="C64" s="33"/>
      <c r="D64" s="46" t="s">
        <v>15</v>
      </c>
      <c r="E64" s="44">
        <f>E59-E61-E62-E63</f>
        <v>0</v>
      </c>
      <c r="F64" s="31"/>
      <c r="G64" s="45"/>
      <c r="H64" s="45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33"/>
      <c r="D65" s="47" t="s">
        <v>16</v>
      </c>
      <c r="E65" s="48">
        <f>(E64)/4</f>
        <v>0</v>
      </c>
      <c r="F65" s="31"/>
      <c r="G65" s="45"/>
      <c r="H65" s="45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/>
      <c r="B66" s="33"/>
      <c r="C66" s="33"/>
      <c r="D66" s="45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33"/>
      <c r="D67" s="45"/>
      <c r="F67" s="31"/>
      <c r="G67" s="31"/>
      <c r="H67" s="45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49" t="s">
        <v>17</v>
      </c>
      <c r="E68" s="50">
        <f>E65+E62-20</f>
        <v>-20</v>
      </c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33"/>
      <c r="D69" s="49" t="s">
        <v>18</v>
      </c>
      <c r="E69" s="50">
        <f>E65+E62+10</f>
        <v>10</v>
      </c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/>
      <c r="B70" s="33"/>
      <c r="C70" s="33"/>
      <c r="D70" s="49" t="s">
        <v>19</v>
      </c>
      <c r="E70" s="50">
        <f>E65+E62+10</f>
        <v>10</v>
      </c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33"/>
      <c r="D71" s="45"/>
      <c r="E71" s="45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/>
      <c r="B72" s="33"/>
      <c r="C72" s="33"/>
      <c r="D72" s="51" t="s">
        <v>20</v>
      </c>
      <c r="E72" s="19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33"/>
      <c r="D73" s="51" t="s">
        <v>21</v>
      </c>
      <c r="E73" s="19" t="str">
        <f>E72</f>
        <v/>
      </c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2"/>
      <c r="B246" s="4"/>
      <c r="C246" s="4"/>
      <c r="D246" s="31"/>
      <c r="E246" s="31"/>
      <c r="F246" s="31"/>
      <c r="G246" s="31"/>
      <c r="H246" s="31"/>
      <c r="I246" s="31"/>
      <c r="J246" s="3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2"/>
      <c r="B247" s="4"/>
      <c r="C247" s="4"/>
      <c r="D247" s="31"/>
      <c r="E247" s="31"/>
      <c r="F247" s="31"/>
      <c r="G247" s="31"/>
      <c r="H247" s="31"/>
      <c r="I247" s="31"/>
      <c r="J247" s="3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2"/>
      <c r="B248" s="4"/>
      <c r="C248" s="4"/>
      <c r="D248" s="31"/>
      <c r="E248" s="31"/>
      <c r="F248" s="31"/>
      <c r="G248" s="31"/>
      <c r="H248" s="31"/>
      <c r="I248" s="31"/>
      <c r="J248" s="3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2"/>
      <c r="B249" s="4"/>
      <c r="C249" s="4"/>
      <c r="D249" s="31"/>
      <c r="E249" s="31"/>
      <c r="F249" s="31"/>
      <c r="G249" s="31"/>
      <c r="H249" s="31"/>
      <c r="I249" s="31"/>
      <c r="J249" s="3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2"/>
      <c r="B250" s="4"/>
      <c r="C250" s="4"/>
      <c r="D250" s="31"/>
      <c r="E250" s="31"/>
      <c r="F250" s="31"/>
      <c r="G250" s="31"/>
      <c r="H250" s="31"/>
      <c r="I250" s="31"/>
      <c r="J250" s="3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2"/>
      <c r="B251" s="4"/>
      <c r="C251" s="4"/>
      <c r="D251" s="31"/>
      <c r="E251" s="31"/>
      <c r="F251" s="31"/>
      <c r="G251" s="31"/>
      <c r="H251" s="31"/>
      <c r="I251" s="31"/>
      <c r="J251" s="3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2"/>
      <c r="B252" s="4"/>
      <c r="C252" s="4"/>
      <c r="D252" s="31"/>
      <c r="E252" s="31"/>
      <c r="F252" s="31"/>
      <c r="G252" s="31"/>
      <c r="H252" s="31"/>
      <c r="I252" s="31"/>
      <c r="J252" s="3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31"/>
      <c r="E253" s="31"/>
      <c r="F253" s="31"/>
      <c r="G253" s="31"/>
      <c r="H253" s="31"/>
      <c r="I253" s="31"/>
      <c r="J253" s="3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31"/>
      <c r="E254" s="31"/>
      <c r="F254" s="31"/>
      <c r="G254" s="31"/>
      <c r="H254" s="31"/>
      <c r="I254" s="31"/>
      <c r="J254" s="3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31"/>
      <c r="E255" s="31"/>
      <c r="F255" s="31"/>
      <c r="G255" s="31"/>
      <c r="H255" s="31"/>
      <c r="I255" s="31"/>
      <c r="J255" s="3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31"/>
      <c r="E256" s="31"/>
      <c r="F256" s="31"/>
      <c r="G256" s="31"/>
      <c r="H256" s="31"/>
      <c r="I256" s="31"/>
      <c r="J256" s="3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31"/>
      <c r="E257" s="31"/>
      <c r="F257" s="31"/>
      <c r="G257" s="31"/>
      <c r="H257" s="31"/>
      <c r="I257" s="31"/>
      <c r="J257" s="3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31"/>
      <c r="E258" s="31"/>
      <c r="F258" s="31"/>
      <c r="G258" s="31"/>
      <c r="H258" s="31"/>
      <c r="I258" s="31"/>
      <c r="J258" s="3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31"/>
      <c r="E259" s="31"/>
      <c r="F259" s="31"/>
      <c r="G259" s="31"/>
      <c r="H259" s="31"/>
      <c r="I259" s="31"/>
      <c r="J259" s="3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31"/>
      <c r="E260" s="31"/>
      <c r="F260" s="31"/>
      <c r="G260" s="31"/>
      <c r="H260" s="31"/>
      <c r="I260" s="31"/>
      <c r="J260" s="3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31"/>
      <c r="E261" s="31"/>
      <c r="F261" s="31"/>
      <c r="G261" s="31"/>
      <c r="H261" s="31"/>
      <c r="I261" s="31"/>
      <c r="J261" s="3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31"/>
      <c r="E262" s="31"/>
      <c r="F262" s="31"/>
      <c r="G262" s="31"/>
      <c r="H262" s="31"/>
      <c r="I262" s="31"/>
      <c r="J262" s="3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31"/>
      <c r="E263" s="31"/>
      <c r="F263" s="31"/>
      <c r="G263" s="31"/>
      <c r="H263" s="31"/>
      <c r="I263" s="31"/>
      <c r="J263" s="3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31"/>
      <c r="E264" s="31"/>
      <c r="F264" s="31"/>
      <c r="G264" s="31"/>
      <c r="H264" s="31"/>
      <c r="I264" s="31"/>
      <c r="J264" s="3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31"/>
      <c r="E265" s="31"/>
      <c r="F265" s="31"/>
      <c r="G265" s="31"/>
      <c r="H265" s="31"/>
      <c r="I265" s="31"/>
      <c r="J265" s="3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31"/>
      <c r="E266" s="31"/>
      <c r="F266" s="31"/>
      <c r="G266" s="31"/>
      <c r="H266" s="31"/>
      <c r="I266" s="31"/>
      <c r="J266" s="3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31"/>
      <c r="E267" s="31"/>
      <c r="F267" s="31"/>
      <c r="G267" s="31"/>
      <c r="H267" s="31"/>
      <c r="I267" s="31"/>
      <c r="J267" s="3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31"/>
      <c r="E268" s="31"/>
      <c r="F268" s="31"/>
      <c r="G268" s="31"/>
      <c r="H268" s="31"/>
      <c r="I268" s="31"/>
      <c r="J268" s="3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31"/>
      <c r="E269" s="31"/>
      <c r="F269" s="31"/>
      <c r="G269" s="31"/>
      <c r="H269" s="31"/>
      <c r="I269" s="31"/>
      <c r="J269" s="3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31"/>
      <c r="E270" s="31"/>
      <c r="F270" s="31"/>
      <c r="G270" s="31"/>
      <c r="H270" s="31"/>
      <c r="I270" s="31"/>
      <c r="J270" s="3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31"/>
      <c r="E271" s="31"/>
      <c r="F271" s="31"/>
      <c r="G271" s="31"/>
      <c r="H271" s="31"/>
      <c r="I271" s="31"/>
      <c r="J271" s="3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31"/>
      <c r="E272" s="31"/>
      <c r="F272" s="31"/>
      <c r="G272" s="31"/>
      <c r="H272" s="31"/>
      <c r="I272" s="31"/>
      <c r="J272" s="3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31"/>
      <c r="E273" s="31"/>
      <c r="F273" s="31"/>
      <c r="G273" s="31"/>
      <c r="H273" s="31"/>
      <c r="I273" s="31"/>
      <c r="J273" s="3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31"/>
      <c r="E274" s="31"/>
      <c r="F274" s="31"/>
      <c r="G274" s="31"/>
      <c r="H274" s="31"/>
      <c r="I274" s="31"/>
      <c r="J274" s="3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31"/>
      <c r="E275" s="31"/>
      <c r="F275" s="31"/>
      <c r="G275" s="31"/>
      <c r="H275" s="31"/>
      <c r="I275" s="31"/>
      <c r="J275" s="3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31"/>
      <c r="E276" s="31"/>
      <c r="F276" s="31"/>
      <c r="G276" s="31"/>
      <c r="H276" s="31"/>
      <c r="I276" s="31"/>
      <c r="J276" s="3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31"/>
      <c r="E277" s="31"/>
      <c r="F277" s="31"/>
      <c r="G277" s="31"/>
      <c r="H277" s="31"/>
      <c r="I277" s="31"/>
      <c r="J277" s="3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31"/>
      <c r="E278" s="31"/>
      <c r="F278" s="31"/>
      <c r="G278" s="31"/>
      <c r="H278" s="31"/>
      <c r="I278" s="31"/>
      <c r="J278" s="3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31"/>
      <c r="E279" s="31"/>
      <c r="F279" s="31"/>
      <c r="G279" s="31"/>
      <c r="H279" s="31"/>
      <c r="I279" s="31"/>
      <c r="J279" s="3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31"/>
      <c r="E280" s="31"/>
      <c r="F280" s="31"/>
      <c r="G280" s="31"/>
      <c r="H280" s="31"/>
      <c r="I280" s="31"/>
      <c r="J280" s="3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31"/>
      <c r="E281" s="31"/>
      <c r="F281" s="31"/>
      <c r="G281" s="31"/>
      <c r="H281" s="31"/>
      <c r="I281" s="31"/>
      <c r="J281" s="3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31"/>
      <c r="E282" s="31"/>
      <c r="F282" s="31"/>
      <c r="G282" s="31"/>
      <c r="H282" s="31"/>
      <c r="I282" s="31"/>
      <c r="J282" s="3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31"/>
      <c r="E283" s="31"/>
      <c r="F283" s="31"/>
      <c r="G283" s="31"/>
      <c r="H283" s="31"/>
      <c r="I283" s="31"/>
      <c r="J283" s="3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31"/>
      <c r="E284" s="31"/>
      <c r="F284" s="31"/>
      <c r="G284" s="31"/>
      <c r="H284" s="31"/>
      <c r="I284" s="31"/>
      <c r="J284" s="3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31"/>
      <c r="E285" s="31"/>
      <c r="F285" s="31"/>
      <c r="G285" s="31"/>
      <c r="H285" s="31"/>
      <c r="I285" s="31"/>
      <c r="J285" s="3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31"/>
      <c r="E286" s="31"/>
      <c r="F286" s="31"/>
      <c r="G286" s="31"/>
      <c r="H286" s="31"/>
      <c r="I286" s="31"/>
      <c r="J286" s="3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31"/>
      <c r="E287" s="31"/>
      <c r="F287" s="31"/>
      <c r="G287" s="31"/>
      <c r="H287" s="31"/>
      <c r="I287" s="31"/>
      <c r="J287" s="3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31"/>
      <c r="E288" s="31"/>
      <c r="F288" s="31"/>
      <c r="G288" s="31"/>
      <c r="H288" s="31"/>
      <c r="I288" s="31"/>
      <c r="J288" s="3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31"/>
      <c r="E289" s="31"/>
      <c r="F289" s="31"/>
      <c r="G289" s="31"/>
      <c r="H289" s="31"/>
      <c r="I289" s="31"/>
      <c r="J289" s="3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31"/>
      <c r="E290" s="31"/>
      <c r="F290" s="31"/>
      <c r="G290" s="31"/>
      <c r="H290" s="31"/>
      <c r="I290" s="31"/>
      <c r="J290" s="3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31"/>
      <c r="E291" s="31"/>
      <c r="F291" s="31"/>
      <c r="G291" s="31"/>
      <c r="H291" s="31"/>
      <c r="I291" s="31"/>
      <c r="J291" s="3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31"/>
      <c r="E292" s="31"/>
      <c r="F292" s="31"/>
      <c r="G292" s="31"/>
      <c r="H292" s="31"/>
      <c r="I292" s="31"/>
      <c r="J292" s="3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31"/>
      <c r="E293" s="31"/>
      <c r="F293" s="31"/>
      <c r="G293" s="31"/>
      <c r="H293" s="31"/>
      <c r="I293" s="31"/>
      <c r="J293" s="3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31"/>
      <c r="E294" s="31"/>
      <c r="F294" s="31"/>
      <c r="G294" s="31"/>
      <c r="H294" s="31"/>
      <c r="I294" s="31"/>
      <c r="J294" s="3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31"/>
      <c r="E295" s="31"/>
      <c r="F295" s="31"/>
      <c r="G295" s="31"/>
      <c r="H295" s="31"/>
      <c r="I295" s="31"/>
      <c r="J295" s="3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31"/>
      <c r="E296" s="31"/>
      <c r="F296" s="31"/>
      <c r="G296" s="31"/>
      <c r="H296" s="31"/>
      <c r="I296" s="31"/>
      <c r="J296" s="3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31"/>
      <c r="E297" s="31"/>
      <c r="F297" s="31"/>
      <c r="G297" s="31"/>
      <c r="H297" s="31"/>
      <c r="I297" s="31"/>
      <c r="J297" s="3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31"/>
      <c r="E298" s="31"/>
      <c r="F298" s="31"/>
      <c r="G298" s="31"/>
      <c r="H298" s="31"/>
      <c r="I298" s="31"/>
      <c r="J298" s="3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31"/>
      <c r="E299" s="31"/>
      <c r="F299" s="31"/>
      <c r="G299" s="31"/>
      <c r="H299" s="31"/>
      <c r="I299" s="31"/>
      <c r="J299" s="3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31"/>
      <c r="E300" s="31"/>
      <c r="F300" s="31"/>
      <c r="G300" s="31"/>
      <c r="H300" s="31"/>
      <c r="I300" s="31"/>
      <c r="J300" s="3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31"/>
      <c r="E301" s="31"/>
      <c r="F301" s="31"/>
      <c r="G301" s="31"/>
      <c r="H301" s="31"/>
      <c r="I301" s="31"/>
      <c r="J301" s="3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31"/>
      <c r="E302" s="31"/>
      <c r="F302" s="31"/>
      <c r="G302" s="31"/>
      <c r="H302" s="31"/>
      <c r="I302" s="31"/>
      <c r="J302" s="3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31"/>
      <c r="E303" s="31"/>
      <c r="F303" s="31"/>
      <c r="G303" s="31"/>
      <c r="H303" s="31"/>
      <c r="I303" s="31"/>
      <c r="J303" s="3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31"/>
      <c r="E304" s="31"/>
      <c r="F304" s="31"/>
      <c r="G304" s="31"/>
      <c r="H304" s="31"/>
      <c r="I304" s="31"/>
      <c r="J304" s="3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31"/>
      <c r="E305" s="31"/>
      <c r="F305" s="31"/>
      <c r="G305" s="31"/>
      <c r="H305" s="31"/>
      <c r="I305" s="31"/>
      <c r="J305" s="3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31"/>
      <c r="E306" s="31"/>
      <c r="F306" s="31"/>
      <c r="G306" s="31"/>
      <c r="H306" s="31"/>
      <c r="I306" s="31"/>
      <c r="J306" s="3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31"/>
      <c r="E307" s="31"/>
      <c r="F307" s="31"/>
      <c r="G307" s="31"/>
      <c r="H307" s="31"/>
      <c r="I307" s="31"/>
      <c r="J307" s="3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31"/>
      <c r="E308" s="31"/>
      <c r="F308" s="31"/>
      <c r="G308" s="31"/>
      <c r="H308" s="31"/>
      <c r="I308" s="31"/>
      <c r="J308" s="3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31"/>
      <c r="E309" s="31"/>
      <c r="F309" s="31"/>
      <c r="G309" s="31"/>
      <c r="H309" s="31"/>
      <c r="I309" s="31"/>
      <c r="J309" s="3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31"/>
      <c r="E310" s="31"/>
      <c r="F310" s="31"/>
      <c r="G310" s="31"/>
      <c r="H310" s="31"/>
      <c r="I310" s="31"/>
      <c r="J310" s="3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31"/>
      <c r="E311" s="31"/>
      <c r="F311" s="31"/>
      <c r="G311" s="31"/>
      <c r="H311" s="31"/>
      <c r="I311" s="31"/>
      <c r="J311" s="3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31"/>
      <c r="E312" s="31"/>
      <c r="F312" s="31"/>
      <c r="G312" s="31"/>
      <c r="H312" s="31"/>
      <c r="I312" s="31"/>
      <c r="J312" s="3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31"/>
      <c r="E313" s="31"/>
      <c r="F313" s="31"/>
      <c r="G313" s="31"/>
      <c r="H313" s="31"/>
      <c r="I313" s="31"/>
      <c r="J313" s="3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31"/>
      <c r="E314" s="31"/>
      <c r="F314" s="31"/>
      <c r="G314" s="31"/>
      <c r="H314" s="31"/>
      <c r="I314" s="31"/>
      <c r="J314" s="3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31"/>
      <c r="E315" s="31"/>
      <c r="F315" s="31"/>
      <c r="G315" s="31"/>
      <c r="H315" s="31"/>
      <c r="I315" s="31"/>
      <c r="J315" s="3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31"/>
      <c r="E316" s="31"/>
      <c r="F316" s="31"/>
      <c r="G316" s="31"/>
      <c r="H316" s="31"/>
      <c r="I316" s="31"/>
      <c r="J316" s="3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31"/>
      <c r="E317" s="31"/>
      <c r="F317" s="31"/>
      <c r="G317" s="31"/>
      <c r="H317" s="31"/>
      <c r="I317" s="31"/>
      <c r="J317" s="3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31"/>
      <c r="E318" s="31"/>
      <c r="F318" s="31"/>
      <c r="G318" s="31"/>
      <c r="H318" s="31"/>
      <c r="I318" s="31"/>
      <c r="J318" s="3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31"/>
      <c r="E319" s="31"/>
      <c r="F319" s="31"/>
      <c r="G319" s="31"/>
      <c r="H319" s="31"/>
      <c r="I319" s="31"/>
      <c r="J319" s="3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31"/>
      <c r="E320" s="31"/>
      <c r="F320" s="31"/>
      <c r="G320" s="31"/>
      <c r="H320" s="31"/>
      <c r="I320" s="31"/>
      <c r="J320" s="3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31"/>
      <c r="E321" s="31"/>
      <c r="F321" s="31"/>
      <c r="G321" s="31"/>
      <c r="H321" s="31"/>
      <c r="I321" s="31"/>
      <c r="J321" s="3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31"/>
      <c r="E322" s="31"/>
      <c r="F322" s="31"/>
      <c r="G322" s="31"/>
      <c r="H322" s="31"/>
      <c r="I322" s="31"/>
      <c r="J322" s="3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31"/>
      <c r="E323" s="31"/>
      <c r="F323" s="31"/>
      <c r="G323" s="31"/>
      <c r="H323" s="31"/>
      <c r="I323" s="31"/>
      <c r="J323" s="3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31"/>
      <c r="E324" s="31"/>
      <c r="F324" s="31"/>
      <c r="G324" s="31"/>
      <c r="H324" s="31"/>
      <c r="I324" s="31"/>
      <c r="J324" s="3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31"/>
      <c r="E325" s="31"/>
      <c r="F325" s="31"/>
      <c r="G325" s="31"/>
      <c r="H325" s="31"/>
      <c r="I325" s="31"/>
      <c r="J325" s="3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31"/>
      <c r="E326" s="31"/>
      <c r="F326" s="31"/>
      <c r="G326" s="31"/>
      <c r="H326" s="31"/>
      <c r="I326" s="31"/>
      <c r="J326" s="3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31"/>
      <c r="E327" s="31"/>
      <c r="F327" s="31"/>
      <c r="G327" s="31"/>
      <c r="H327" s="31"/>
      <c r="I327" s="31"/>
      <c r="J327" s="3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31"/>
      <c r="E328" s="31"/>
      <c r="F328" s="31"/>
      <c r="G328" s="31"/>
      <c r="H328" s="31"/>
      <c r="I328" s="31"/>
      <c r="J328" s="3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31"/>
      <c r="E329" s="31"/>
      <c r="F329" s="31"/>
      <c r="G329" s="31"/>
      <c r="H329" s="31"/>
      <c r="I329" s="31"/>
      <c r="J329" s="3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31"/>
      <c r="E330" s="31"/>
      <c r="F330" s="31"/>
      <c r="G330" s="31"/>
      <c r="H330" s="31"/>
      <c r="I330" s="31"/>
      <c r="J330" s="3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31"/>
      <c r="E331" s="31"/>
      <c r="F331" s="31"/>
      <c r="G331" s="31"/>
      <c r="H331" s="31"/>
      <c r="I331" s="31"/>
      <c r="J331" s="3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31"/>
      <c r="E332" s="31"/>
      <c r="F332" s="31"/>
      <c r="G332" s="31"/>
      <c r="H332" s="31"/>
      <c r="I332" s="31"/>
      <c r="J332" s="3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31"/>
      <c r="E333" s="31"/>
      <c r="F333" s="31"/>
      <c r="G333" s="31"/>
      <c r="H333" s="31"/>
      <c r="I333" s="31"/>
      <c r="J333" s="3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31"/>
      <c r="E334" s="31"/>
      <c r="F334" s="31"/>
      <c r="G334" s="31"/>
      <c r="H334" s="31"/>
      <c r="I334" s="31"/>
      <c r="J334" s="3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31"/>
      <c r="E335" s="31"/>
      <c r="F335" s="31"/>
      <c r="G335" s="31"/>
      <c r="H335" s="31"/>
      <c r="I335" s="31"/>
      <c r="J335" s="3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31"/>
      <c r="E336" s="31"/>
      <c r="F336" s="31"/>
      <c r="G336" s="31"/>
      <c r="H336" s="31"/>
      <c r="I336" s="31"/>
      <c r="J336" s="3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31"/>
      <c r="E337" s="31"/>
      <c r="F337" s="31"/>
      <c r="G337" s="31"/>
      <c r="H337" s="31"/>
      <c r="I337" s="31"/>
      <c r="J337" s="3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31"/>
      <c r="E338" s="31"/>
      <c r="F338" s="31"/>
      <c r="G338" s="31"/>
      <c r="H338" s="31"/>
      <c r="I338" s="31"/>
      <c r="J338" s="3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31"/>
      <c r="E339" s="31"/>
      <c r="F339" s="31"/>
      <c r="G339" s="31"/>
      <c r="H339" s="31"/>
      <c r="I339" s="31"/>
      <c r="J339" s="3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31"/>
      <c r="E340" s="31"/>
      <c r="F340" s="31"/>
      <c r="G340" s="31"/>
      <c r="H340" s="31"/>
      <c r="I340" s="31"/>
      <c r="J340" s="3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31"/>
      <c r="E341" s="31"/>
      <c r="F341" s="31"/>
      <c r="G341" s="31"/>
      <c r="H341" s="31"/>
      <c r="I341" s="31"/>
      <c r="J341" s="3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31"/>
      <c r="E342" s="31"/>
      <c r="F342" s="31"/>
      <c r="G342" s="31"/>
      <c r="H342" s="31"/>
      <c r="I342" s="31"/>
      <c r="J342" s="3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31"/>
      <c r="E343" s="31"/>
      <c r="F343" s="31"/>
      <c r="G343" s="31"/>
      <c r="H343" s="31"/>
      <c r="I343" s="31"/>
      <c r="J343" s="3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31"/>
      <c r="E344" s="31"/>
      <c r="F344" s="31"/>
      <c r="G344" s="31"/>
      <c r="H344" s="31"/>
      <c r="I344" s="31"/>
      <c r="J344" s="3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31"/>
      <c r="E345" s="31"/>
      <c r="F345" s="31"/>
      <c r="G345" s="31"/>
      <c r="H345" s="31"/>
      <c r="I345" s="31"/>
      <c r="J345" s="3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31"/>
      <c r="E346" s="31"/>
      <c r="F346" s="31"/>
      <c r="G346" s="31"/>
      <c r="H346" s="31"/>
      <c r="I346" s="31"/>
      <c r="J346" s="3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31"/>
      <c r="E347" s="31"/>
      <c r="F347" s="31"/>
      <c r="G347" s="31"/>
      <c r="H347" s="31"/>
      <c r="I347" s="31"/>
      <c r="J347" s="3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31"/>
      <c r="E348" s="31"/>
      <c r="F348" s="31"/>
      <c r="G348" s="31"/>
      <c r="H348" s="31"/>
      <c r="I348" s="31"/>
      <c r="J348" s="3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31"/>
      <c r="E349" s="31"/>
      <c r="F349" s="31"/>
      <c r="G349" s="31"/>
      <c r="H349" s="31"/>
      <c r="I349" s="31"/>
      <c r="J349" s="3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31"/>
      <c r="E350" s="31"/>
      <c r="F350" s="31"/>
      <c r="G350" s="31"/>
      <c r="H350" s="31"/>
      <c r="I350" s="31"/>
      <c r="J350" s="3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31"/>
      <c r="E351" s="31"/>
      <c r="F351" s="31"/>
      <c r="G351" s="31"/>
      <c r="H351" s="31"/>
      <c r="I351" s="31"/>
      <c r="J351" s="3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31"/>
      <c r="E352" s="31"/>
      <c r="F352" s="31"/>
      <c r="G352" s="31"/>
      <c r="H352" s="31"/>
      <c r="I352" s="31"/>
      <c r="J352" s="3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31"/>
      <c r="E353" s="31"/>
      <c r="F353" s="31"/>
      <c r="G353" s="31"/>
      <c r="H353" s="31"/>
      <c r="I353" s="31"/>
      <c r="J353" s="3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31"/>
      <c r="E354" s="31"/>
      <c r="F354" s="31"/>
      <c r="G354" s="31"/>
      <c r="H354" s="31"/>
      <c r="I354" s="31"/>
      <c r="J354" s="3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31"/>
      <c r="E355" s="31"/>
      <c r="F355" s="31"/>
      <c r="G355" s="31"/>
      <c r="H355" s="31"/>
      <c r="I355" s="31"/>
      <c r="J355" s="3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31"/>
      <c r="E356" s="31"/>
      <c r="F356" s="31"/>
      <c r="G356" s="31"/>
      <c r="H356" s="31"/>
      <c r="I356" s="31"/>
      <c r="J356" s="3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31"/>
      <c r="E357" s="31"/>
      <c r="F357" s="31"/>
      <c r="G357" s="31"/>
      <c r="H357" s="31"/>
      <c r="I357" s="31"/>
      <c r="J357" s="3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31"/>
      <c r="E358" s="31"/>
      <c r="F358" s="31"/>
      <c r="G358" s="31"/>
      <c r="H358" s="31"/>
      <c r="I358" s="31"/>
      <c r="J358" s="3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31"/>
      <c r="E359" s="31"/>
      <c r="F359" s="31"/>
      <c r="G359" s="31"/>
      <c r="H359" s="31"/>
      <c r="I359" s="31"/>
      <c r="J359" s="3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31"/>
      <c r="E360" s="31"/>
      <c r="F360" s="31"/>
      <c r="G360" s="31"/>
      <c r="H360" s="31"/>
      <c r="I360" s="31"/>
      <c r="J360" s="3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31"/>
      <c r="E361" s="31"/>
      <c r="F361" s="31"/>
      <c r="G361" s="31"/>
      <c r="H361" s="31"/>
      <c r="I361" s="31"/>
      <c r="J361" s="3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31"/>
      <c r="E362" s="31"/>
      <c r="F362" s="31"/>
      <c r="G362" s="31"/>
      <c r="H362" s="31"/>
      <c r="I362" s="31"/>
      <c r="J362" s="3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31"/>
      <c r="E363" s="31"/>
      <c r="F363" s="31"/>
      <c r="G363" s="31"/>
      <c r="H363" s="31"/>
      <c r="I363" s="31"/>
      <c r="J363" s="3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31"/>
      <c r="E364" s="31"/>
      <c r="F364" s="31"/>
      <c r="G364" s="31"/>
      <c r="H364" s="31"/>
      <c r="I364" s="31"/>
      <c r="J364" s="3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31"/>
      <c r="E365" s="31"/>
      <c r="F365" s="31"/>
      <c r="G365" s="31"/>
      <c r="H365" s="31"/>
      <c r="I365" s="31"/>
      <c r="J365" s="3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31"/>
      <c r="E366" s="31"/>
      <c r="F366" s="31"/>
      <c r="G366" s="31"/>
      <c r="H366" s="31"/>
      <c r="I366" s="31"/>
      <c r="J366" s="3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31"/>
      <c r="E367" s="31"/>
      <c r="F367" s="31"/>
      <c r="G367" s="31"/>
      <c r="H367" s="31"/>
      <c r="I367" s="31"/>
      <c r="J367" s="3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31"/>
      <c r="E368" s="31"/>
      <c r="F368" s="31"/>
      <c r="G368" s="31"/>
      <c r="H368" s="31"/>
      <c r="I368" s="31"/>
      <c r="J368" s="3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31"/>
      <c r="E369" s="31"/>
      <c r="F369" s="31"/>
      <c r="G369" s="31"/>
      <c r="H369" s="31"/>
      <c r="I369" s="31"/>
      <c r="J369" s="3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31"/>
      <c r="E370" s="31"/>
      <c r="F370" s="31"/>
      <c r="G370" s="31"/>
      <c r="H370" s="31"/>
      <c r="I370" s="31"/>
      <c r="J370" s="3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31"/>
      <c r="E371" s="31"/>
      <c r="F371" s="31"/>
      <c r="G371" s="31"/>
      <c r="H371" s="31"/>
      <c r="I371" s="31"/>
      <c r="J371" s="3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31"/>
      <c r="E372" s="31"/>
      <c r="F372" s="31"/>
      <c r="G372" s="31"/>
      <c r="H372" s="31"/>
      <c r="I372" s="31"/>
      <c r="J372" s="3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31"/>
      <c r="E373" s="31"/>
      <c r="F373" s="31"/>
      <c r="G373" s="31"/>
      <c r="H373" s="31"/>
      <c r="I373" s="31"/>
      <c r="J373" s="3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31"/>
      <c r="E374" s="31"/>
      <c r="F374" s="31"/>
      <c r="G374" s="31"/>
      <c r="H374" s="31"/>
      <c r="I374" s="31"/>
      <c r="J374" s="3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31"/>
      <c r="E375" s="31"/>
      <c r="F375" s="31"/>
      <c r="G375" s="31"/>
      <c r="H375" s="31"/>
      <c r="I375" s="31"/>
      <c r="J375" s="3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31"/>
      <c r="E376" s="31"/>
      <c r="F376" s="31"/>
      <c r="G376" s="31"/>
      <c r="H376" s="31"/>
      <c r="I376" s="31"/>
      <c r="J376" s="3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31"/>
      <c r="E377" s="31"/>
      <c r="F377" s="31"/>
      <c r="G377" s="31"/>
      <c r="H377" s="31"/>
      <c r="I377" s="31"/>
      <c r="J377" s="3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31"/>
      <c r="E378" s="31"/>
      <c r="F378" s="31"/>
      <c r="G378" s="31"/>
      <c r="H378" s="31"/>
      <c r="I378" s="31"/>
      <c r="J378" s="3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31"/>
      <c r="E379" s="31"/>
      <c r="F379" s="31"/>
      <c r="G379" s="31"/>
      <c r="H379" s="31"/>
      <c r="I379" s="31"/>
      <c r="J379" s="3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31"/>
      <c r="E380" s="31"/>
      <c r="F380" s="31"/>
      <c r="G380" s="31"/>
      <c r="H380" s="31"/>
      <c r="I380" s="31"/>
      <c r="J380" s="3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31"/>
      <c r="E381" s="31"/>
      <c r="F381" s="31"/>
      <c r="G381" s="31"/>
      <c r="H381" s="31"/>
      <c r="I381" s="31"/>
      <c r="J381" s="3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31"/>
      <c r="E382" s="31"/>
      <c r="F382" s="31"/>
      <c r="G382" s="31"/>
      <c r="H382" s="31"/>
      <c r="I382" s="31"/>
      <c r="J382" s="3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31"/>
      <c r="E383" s="31"/>
      <c r="F383" s="31"/>
      <c r="G383" s="31"/>
      <c r="H383" s="31"/>
      <c r="I383" s="31"/>
      <c r="J383" s="3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31"/>
      <c r="E384" s="31"/>
      <c r="F384" s="31"/>
      <c r="G384" s="31"/>
      <c r="H384" s="31"/>
      <c r="I384" s="31"/>
      <c r="J384" s="3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31"/>
      <c r="E385" s="31"/>
      <c r="F385" s="31"/>
      <c r="G385" s="31"/>
      <c r="H385" s="31"/>
      <c r="I385" s="31"/>
      <c r="J385" s="3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31"/>
      <c r="E386" s="31"/>
      <c r="F386" s="31"/>
      <c r="G386" s="31"/>
      <c r="H386" s="31"/>
      <c r="I386" s="31"/>
      <c r="J386" s="3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31"/>
      <c r="E387" s="31"/>
      <c r="F387" s="31"/>
      <c r="G387" s="31"/>
      <c r="H387" s="31"/>
      <c r="I387" s="31"/>
      <c r="J387" s="3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31"/>
      <c r="E388" s="31"/>
      <c r="F388" s="31"/>
      <c r="G388" s="31"/>
      <c r="H388" s="31"/>
      <c r="I388" s="31"/>
      <c r="J388" s="3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31"/>
      <c r="E389" s="31"/>
      <c r="F389" s="31"/>
      <c r="G389" s="31"/>
      <c r="H389" s="31"/>
      <c r="I389" s="31"/>
      <c r="J389" s="3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31"/>
      <c r="E390" s="31"/>
      <c r="F390" s="31"/>
      <c r="G390" s="31"/>
      <c r="H390" s="31"/>
      <c r="I390" s="31"/>
      <c r="J390" s="3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31"/>
      <c r="E391" s="31"/>
      <c r="F391" s="31"/>
      <c r="G391" s="31"/>
      <c r="H391" s="31"/>
      <c r="I391" s="31"/>
      <c r="J391" s="3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31"/>
      <c r="E392" s="31"/>
      <c r="F392" s="31"/>
      <c r="G392" s="31"/>
      <c r="H392" s="31"/>
      <c r="I392" s="31"/>
      <c r="J392" s="3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31"/>
      <c r="E393" s="31"/>
      <c r="F393" s="31"/>
      <c r="G393" s="31"/>
      <c r="H393" s="31"/>
      <c r="I393" s="31"/>
      <c r="J393" s="3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31"/>
      <c r="E394" s="31"/>
      <c r="F394" s="31"/>
      <c r="G394" s="31"/>
      <c r="H394" s="31"/>
      <c r="I394" s="31"/>
      <c r="J394" s="3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31"/>
      <c r="E395" s="31"/>
      <c r="F395" s="31"/>
      <c r="G395" s="31"/>
      <c r="H395" s="31"/>
      <c r="I395" s="31"/>
      <c r="J395" s="3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31"/>
      <c r="E396" s="31"/>
      <c r="F396" s="31"/>
      <c r="G396" s="31"/>
      <c r="H396" s="31"/>
      <c r="I396" s="31"/>
      <c r="J396" s="3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31"/>
      <c r="E397" s="31"/>
      <c r="F397" s="31"/>
      <c r="G397" s="31"/>
      <c r="H397" s="31"/>
      <c r="I397" s="31"/>
      <c r="J397" s="3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31"/>
      <c r="E398" s="31"/>
      <c r="F398" s="31"/>
      <c r="G398" s="31"/>
      <c r="H398" s="31"/>
      <c r="I398" s="31"/>
      <c r="J398" s="3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31"/>
      <c r="E399" s="31"/>
      <c r="F399" s="31"/>
      <c r="G399" s="31"/>
      <c r="H399" s="31"/>
      <c r="I399" s="31"/>
      <c r="J399" s="3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31"/>
      <c r="E400" s="31"/>
      <c r="F400" s="31"/>
      <c r="G400" s="31"/>
      <c r="H400" s="31"/>
      <c r="I400" s="31"/>
      <c r="J400" s="3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31"/>
      <c r="E401" s="31"/>
      <c r="F401" s="31"/>
      <c r="G401" s="31"/>
      <c r="H401" s="31"/>
      <c r="I401" s="31"/>
      <c r="J401" s="3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31"/>
      <c r="E402" s="31"/>
      <c r="F402" s="31"/>
      <c r="G402" s="31"/>
      <c r="H402" s="31"/>
      <c r="I402" s="31"/>
      <c r="J402" s="3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31"/>
      <c r="E403" s="31"/>
      <c r="F403" s="31"/>
      <c r="G403" s="31"/>
      <c r="H403" s="31"/>
      <c r="I403" s="31"/>
      <c r="J403" s="3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31"/>
      <c r="E404" s="31"/>
      <c r="F404" s="31"/>
      <c r="G404" s="31"/>
      <c r="H404" s="31"/>
      <c r="I404" s="31"/>
      <c r="J404" s="3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31"/>
      <c r="E405" s="31"/>
      <c r="F405" s="31"/>
      <c r="G405" s="31"/>
      <c r="H405" s="31"/>
      <c r="I405" s="31"/>
      <c r="J405" s="3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31"/>
      <c r="E406" s="31"/>
      <c r="F406" s="31"/>
      <c r="G406" s="31"/>
      <c r="H406" s="31"/>
      <c r="I406" s="31"/>
      <c r="J406" s="3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31"/>
      <c r="E407" s="31"/>
      <c r="F407" s="31"/>
      <c r="G407" s="31"/>
      <c r="H407" s="31"/>
      <c r="I407" s="31"/>
      <c r="J407" s="3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31"/>
      <c r="E408" s="31"/>
      <c r="F408" s="31"/>
      <c r="G408" s="31"/>
      <c r="H408" s="31"/>
      <c r="I408" s="31"/>
      <c r="J408" s="3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31"/>
      <c r="E409" s="31"/>
      <c r="F409" s="31"/>
      <c r="G409" s="31"/>
      <c r="H409" s="31"/>
      <c r="I409" s="31"/>
      <c r="J409" s="3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31"/>
      <c r="E410" s="31"/>
      <c r="F410" s="31"/>
      <c r="G410" s="31"/>
      <c r="H410" s="31"/>
      <c r="I410" s="31"/>
      <c r="J410" s="3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31"/>
      <c r="E411" s="31"/>
      <c r="F411" s="31"/>
      <c r="G411" s="31"/>
      <c r="H411" s="31"/>
      <c r="I411" s="31"/>
      <c r="J411" s="3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31"/>
      <c r="E412" s="31"/>
      <c r="F412" s="31"/>
      <c r="G412" s="31"/>
      <c r="H412" s="31"/>
      <c r="I412" s="31"/>
      <c r="J412" s="3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31"/>
      <c r="E413" s="31"/>
      <c r="F413" s="31"/>
      <c r="G413" s="31"/>
      <c r="H413" s="31"/>
      <c r="I413" s="31"/>
      <c r="J413" s="3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31"/>
      <c r="E414" s="31"/>
      <c r="F414" s="31"/>
      <c r="G414" s="31"/>
      <c r="H414" s="31"/>
      <c r="I414" s="31"/>
      <c r="J414" s="3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31"/>
      <c r="E415" s="31"/>
      <c r="F415" s="31"/>
      <c r="G415" s="31"/>
      <c r="H415" s="31"/>
      <c r="I415" s="31"/>
      <c r="J415" s="3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31"/>
      <c r="E416" s="31"/>
      <c r="F416" s="31"/>
      <c r="G416" s="31"/>
      <c r="H416" s="31"/>
      <c r="I416" s="31"/>
      <c r="J416" s="3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31"/>
      <c r="E417" s="31"/>
      <c r="F417" s="31"/>
      <c r="G417" s="31"/>
      <c r="H417" s="31"/>
      <c r="I417" s="31"/>
      <c r="J417" s="3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31"/>
      <c r="E418" s="31"/>
      <c r="F418" s="31"/>
      <c r="G418" s="31"/>
      <c r="H418" s="31"/>
      <c r="I418" s="31"/>
      <c r="J418" s="3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31"/>
      <c r="E419" s="31"/>
      <c r="F419" s="31"/>
      <c r="G419" s="31"/>
      <c r="H419" s="31"/>
      <c r="I419" s="31"/>
      <c r="J419" s="3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31"/>
      <c r="E420" s="31"/>
      <c r="F420" s="31"/>
      <c r="G420" s="31"/>
      <c r="H420" s="31"/>
      <c r="I420" s="31"/>
      <c r="J420" s="3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31"/>
      <c r="E421" s="31"/>
      <c r="F421" s="31"/>
      <c r="G421" s="31"/>
      <c r="H421" s="31"/>
      <c r="I421" s="31"/>
      <c r="J421" s="3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31"/>
      <c r="E422" s="31"/>
      <c r="F422" s="31"/>
      <c r="G422" s="31"/>
      <c r="H422" s="31"/>
      <c r="I422" s="31"/>
      <c r="J422" s="3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31"/>
      <c r="E423" s="31"/>
      <c r="F423" s="31"/>
      <c r="G423" s="31"/>
      <c r="H423" s="31"/>
      <c r="I423" s="31"/>
      <c r="J423" s="3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31"/>
      <c r="E424" s="31"/>
      <c r="F424" s="31"/>
      <c r="G424" s="31"/>
      <c r="H424" s="31"/>
      <c r="I424" s="31"/>
      <c r="J424" s="3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31"/>
      <c r="E425" s="31"/>
      <c r="F425" s="31"/>
      <c r="G425" s="31"/>
      <c r="H425" s="31"/>
      <c r="I425" s="31"/>
      <c r="J425" s="3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31"/>
      <c r="E426" s="31"/>
      <c r="F426" s="31"/>
      <c r="G426" s="31"/>
      <c r="H426" s="31"/>
      <c r="I426" s="31"/>
      <c r="J426" s="3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31"/>
      <c r="E427" s="31"/>
      <c r="F427" s="31"/>
      <c r="G427" s="31"/>
      <c r="H427" s="31"/>
      <c r="I427" s="31"/>
      <c r="J427" s="3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31"/>
      <c r="E428" s="31"/>
      <c r="F428" s="31"/>
      <c r="G428" s="31"/>
      <c r="H428" s="31"/>
      <c r="I428" s="31"/>
      <c r="J428" s="3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31"/>
      <c r="E429" s="31"/>
      <c r="F429" s="31"/>
      <c r="G429" s="31"/>
      <c r="H429" s="31"/>
      <c r="I429" s="31"/>
      <c r="J429" s="3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31"/>
      <c r="E430" s="31"/>
      <c r="F430" s="31"/>
      <c r="G430" s="31"/>
      <c r="H430" s="31"/>
      <c r="I430" s="31"/>
      <c r="J430" s="3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31"/>
      <c r="E431" s="31"/>
      <c r="F431" s="31"/>
      <c r="G431" s="31"/>
      <c r="H431" s="31"/>
      <c r="I431" s="31"/>
      <c r="J431" s="3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31"/>
      <c r="E432" s="31"/>
      <c r="F432" s="31"/>
      <c r="G432" s="31"/>
      <c r="H432" s="31"/>
      <c r="I432" s="31"/>
      <c r="J432" s="3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31"/>
      <c r="E433" s="31"/>
      <c r="F433" s="31"/>
      <c r="G433" s="31"/>
      <c r="H433" s="31"/>
      <c r="I433" s="31"/>
      <c r="J433" s="3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31"/>
      <c r="E434" s="31"/>
      <c r="F434" s="31"/>
      <c r="G434" s="31"/>
      <c r="H434" s="31"/>
      <c r="I434" s="31"/>
      <c r="J434" s="3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31"/>
      <c r="E435" s="31"/>
      <c r="F435" s="31"/>
      <c r="G435" s="31"/>
      <c r="H435" s="31"/>
      <c r="I435" s="31"/>
      <c r="J435" s="3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31"/>
      <c r="E436" s="31"/>
      <c r="F436" s="31"/>
      <c r="G436" s="31"/>
      <c r="H436" s="31"/>
      <c r="I436" s="31"/>
      <c r="J436" s="3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31"/>
      <c r="E437" s="31"/>
      <c r="F437" s="31"/>
      <c r="G437" s="31"/>
      <c r="H437" s="31"/>
      <c r="I437" s="31"/>
      <c r="J437" s="3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31"/>
      <c r="E438" s="31"/>
      <c r="F438" s="31"/>
      <c r="G438" s="31"/>
      <c r="H438" s="31"/>
      <c r="I438" s="31"/>
      <c r="J438" s="3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31"/>
      <c r="E439" s="31"/>
      <c r="F439" s="31"/>
      <c r="G439" s="31"/>
      <c r="H439" s="31"/>
      <c r="I439" s="31"/>
      <c r="J439" s="3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31"/>
      <c r="E440" s="31"/>
      <c r="F440" s="31"/>
      <c r="G440" s="31"/>
      <c r="H440" s="31"/>
      <c r="I440" s="31"/>
      <c r="J440" s="3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31"/>
      <c r="E441" s="31"/>
      <c r="F441" s="31"/>
      <c r="G441" s="31"/>
      <c r="H441" s="31"/>
      <c r="I441" s="31"/>
      <c r="J441" s="3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31"/>
      <c r="E442" s="31"/>
      <c r="F442" s="31"/>
      <c r="G442" s="31"/>
      <c r="H442" s="31"/>
      <c r="I442" s="31"/>
      <c r="J442" s="3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31"/>
      <c r="E443" s="31"/>
      <c r="F443" s="31"/>
      <c r="G443" s="31"/>
      <c r="H443" s="31"/>
      <c r="I443" s="31"/>
      <c r="J443" s="3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31"/>
      <c r="E444" s="31"/>
      <c r="F444" s="31"/>
      <c r="G444" s="31"/>
      <c r="H444" s="31"/>
      <c r="I444" s="31"/>
      <c r="J444" s="3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31"/>
      <c r="E445" s="31"/>
      <c r="F445" s="31"/>
      <c r="G445" s="31"/>
      <c r="H445" s="31"/>
      <c r="I445" s="31"/>
      <c r="J445" s="3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31"/>
      <c r="E446" s="31"/>
      <c r="F446" s="31"/>
      <c r="G446" s="31"/>
      <c r="H446" s="31"/>
      <c r="I446" s="31"/>
      <c r="J446" s="3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31"/>
      <c r="E447" s="31"/>
      <c r="F447" s="31"/>
      <c r="G447" s="31"/>
      <c r="H447" s="31"/>
      <c r="I447" s="31"/>
      <c r="J447" s="3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31"/>
      <c r="E448" s="31"/>
      <c r="F448" s="31"/>
      <c r="G448" s="31"/>
      <c r="H448" s="31"/>
      <c r="I448" s="31"/>
      <c r="J448" s="3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31"/>
      <c r="E449" s="31"/>
      <c r="F449" s="31"/>
      <c r="G449" s="31"/>
      <c r="H449" s="31"/>
      <c r="I449" s="31"/>
      <c r="J449" s="3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31"/>
      <c r="E450" s="31"/>
      <c r="F450" s="31"/>
      <c r="G450" s="31"/>
      <c r="H450" s="31"/>
      <c r="I450" s="31"/>
      <c r="J450" s="3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31"/>
      <c r="E451" s="31"/>
      <c r="F451" s="31"/>
      <c r="G451" s="31"/>
      <c r="H451" s="31"/>
      <c r="I451" s="31"/>
      <c r="J451" s="3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31"/>
      <c r="E452" s="31"/>
      <c r="F452" s="31"/>
      <c r="G452" s="31"/>
      <c r="H452" s="31"/>
      <c r="I452" s="31"/>
      <c r="J452" s="3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31"/>
      <c r="E453" s="31"/>
      <c r="F453" s="31"/>
      <c r="G453" s="31"/>
      <c r="H453" s="31"/>
      <c r="I453" s="31"/>
      <c r="J453" s="3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31"/>
      <c r="E454" s="31"/>
      <c r="F454" s="31"/>
      <c r="G454" s="31"/>
      <c r="H454" s="31"/>
      <c r="I454" s="31"/>
      <c r="J454" s="3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31"/>
      <c r="E455" s="31"/>
      <c r="F455" s="31"/>
      <c r="G455" s="31"/>
      <c r="H455" s="31"/>
      <c r="I455" s="31"/>
      <c r="J455" s="3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31"/>
      <c r="E456" s="31"/>
      <c r="F456" s="31"/>
      <c r="G456" s="31"/>
      <c r="H456" s="31"/>
      <c r="I456" s="31"/>
      <c r="J456" s="3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31"/>
      <c r="E457" s="31"/>
      <c r="F457" s="31"/>
      <c r="G457" s="31"/>
      <c r="H457" s="31"/>
      <c r="I457" s="31"/>
      <c r="J457" s="3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31"/>
      <c r="E458" s="31"/>
      <c r="F458" s="31"/>
      <c r="G458" s="31"/>
      <c r="H458" s="31"/>
      <c r="I458" s="31"/>
      <c r="J458" s="3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31"/>
      <c r="E459" s="31"/>
      <c r="F459" s="31"/>
      <c r="G459" s="31"/>
      <c r="H459" s="31"/>
      <c r="I459" s="31"/>
      <c r="J459" s="3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31"/>
      <c r="E460" s="31"/>
      <c r="F460" s="31"/>
      <c r="G460" s="31"/>
      <c r="H460" s="31"/>
      <c r="I460" s="31"/>
      <c r="J460" s="3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31"/>
      <c r="E461" s="31"/>
      <c r="F461" s="31"/>
      <c r="G461" s="31"/>
      <c r="H461" s="31"/>
      <c r="I461" s="31"/>
      <c r="J461" s="3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31"/>
      <c r="E462" s="31"/>
      <c r="F462" s="31"/>
      <c r="G462" s="31"/>
      <c r="H462" s="31"/>
      <c r="I462" s="31"/>
      <c r="J462" s="3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31"/>
      <c r="E463" s="31"/>
      <c r="F463" s="31"/>
      <c r="G463" s="31"/>
      <c r="H463" s="31"/>
      <c r="I463" s="31"/>
      <c r="J463" s="3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31"/>
      <c r="E464" s="31"/>
      <c r="F464" s="31"/>
      <c r="G464" s="31"/>
      <c r="H464" s="31"/>
      <c r="I464" s="31"/>
      <c r="J464" s="3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31"/>
      <c r="E465" s="31"/>
      <c r="F465" s="31"/>
      <c r="G465" s="31"/>
      <c r="H465" s="31"/>
      <c r="I465" s="31"/>
      <c r="J465" s="3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31"/>
      <c r="E466" s="31"/>
      <c r="F466" s="31"/>
      <c r="G466" s="31"/>
      <c r="H466" s="31"/>
      <c r="I466" s="31"/>
      <c r="J466" s="3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31"/>
      <c r="E467" s="31"/>
      <c r="F467" s="31"/>
      <c r="G467" s="31"/>
      <c r="H467" s="31"/>
      <c r="I467" s="31"/>
      <c r="J467" s="3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31"/>
      <c r="E468" s="31"/>
      <c r="F468" s="31"/>
      <c r="G468" s="31"/>
      <c r="H468" s="31"/>
      <c r="I468" s="31"/>
      <c r="J468" s="3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31"/>
      <c r="E469" s="31"/>
      <c r="F469" s="31"/>
      <c r="G469" s="31"/>
      <c r="H469" s="31"/>
      <c r="I469" s="31"/>
      <c r="J469" s="3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31"/>
      <c r="E470" s="31"/>
      <c r="F470" s="31"/>
      <c r="G470" s="31"/>
      <c r="H470" s="31"/>
      <c r="I470" s="31"/>
      <c r="J470" s="3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31"/>
      <c r="E471" s="31"/>
      <c r="F471" s="31"/>
      <c r="G471" s="31"/>
      <c r="H471" s="31"/>
      <c r="I471" s="31"/>
      <c r="J471" s="3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31"/>
      <c r="E472" s="31"/>
      <c r="F472" s="31"/>
      <c r="G472" s="31"/>
      <c r="H472" s="31"/>
      <c r="I472" s="31"/>
      <c r="J472" s="3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31"/>
      <c r="E473" s="31"/>
      <c r="F473" s="31"/>
      <c r="G473" s="31"/>
      <c r="H473" s="31"/>
      <c r="I473" s="31"/>
      <c r="J473" s="3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31"/>
      <c r="E474" s="31"/>
      <c r="F474" s="31"/>
      <c r="G474" s="31"/>
      <c r="H474" s="31"/>
      <c r="I474" s="31"/>
      <c r="J474" s="3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31"/>
      <c r="E475" s="31"/>
      <c r="F475" s="31"/>
      <c r="G475" s="31"/>
      <c r="H475" s="31"/>
      <c r="I475" s="31"/>
      <c r="J475" s="3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31"/>
      <c r="E476" s="31"/>
      <c r="F476" s="31"/>
      <c r="G476" s="31"/>
      <c r="H476" s="31"/>
      <c r="I476" s="31"/>
      <c r="J476" s="3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31"/>
      <c r="E477" s="31"/>
      <c r="F477" s="31"/>
      <c r="G477" s="31"/>
      <c r="H477" s="31"/>
      <c r="I477" s="31"/>
      <c r="J477" s="3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31"/>
      <c r="E478" s="31"/>
      <c r="F478" s="31"/>
      <c r="G478" s="31"/>
      <c r="H478" s="31"/>
      <c r="I478" s="31"/>
      <c r="J478" s="3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31"/>
      <c r="E479" s="31"/>
      <c r="F479" s="31"/>
      <c r="G479" s="31"/>
      <c r="H479" s="31"/>
      <c r="I479" s="31"/>
      <c r="J479" s="3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31"/>
      <c r="E480" s="31"/>
      <c r="F480" s="31"/>
      <c r="G480" s="31"/>
      <c r="H480" s="31"/>
      <c r="I480" s="31"/>
      <c r="J480" s="3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31"/>
      <c r="E481" s="31"/>
      <c r="F481" s="31"/>
      <c r="G481" s="31"/>
      <c r="H481" s="31"/>
      <c r="I481" s="31"/>
      <c r="J481" s="3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31"/>
      <c r="E482" s="31"/>
      <c r="F482" s="31"/>
      <c r="G482" s="31"/>
      <c r="H482" s="31"/>
      <c r="I482" s="31"/>
      <c r="J482" s="3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31"/>
      <c r="E483" s="31"/>
      <c r="F483" s="31"/>
      <c r="G483" s="31"/>
      <c r="H483" s="31"/>
      <c r="I483" s="31"/>
      <c r="J483" s="3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31"/>
      <c r="E484" s="31"/>
      <c r="F484" s="31"/>
      <c r="G484" s="31"/>
      <c r="H484" s="31"/>
      <c r="I484" s="31"/>
      <c r="J484" s="3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31"/>
      <c r="E485" s="31"/>
      <c r="F485" s="31"/>
      <c r="G485" s="31"/>
      <c r="H485" s="31"/>
      <c r="I485" s="31"/>
      <c r="J485" s="3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31"/>
      <c r="E486" s="31"/>
      <c r="F486" s="31"/>
      <c r="G486" s="31"/>
      <c r="H486" s="31"/>
      <c r="I486" s="31"/>
      <c r="J486" s="3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31"/>
      <c r="E487" s="31"/>
      <c r="F487" s="31"/>
      <c r="G487" s="31"/>
      <c r="H487" s="31"/>
      <c r="I487" s="31"/>
      <c r="J487" s="3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31"/>
      <c r="E488" s="31"/>
      <c r="F488" s="31"/>
      <c r="G488" s="31"/>
      <c r="H488" s="31"/>
      <c r="I488" s="31"/>
      <c r="J488" s="3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31"/>
      <c r="E489" s="31"/>
      <c r="F489" s="31"/>
      <c r="G489" s="31"/>
      <c r="H489" s="31"/>
      <c r="I489" s="31"/>
      <c r="J489" s="3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31"/>
      <c r="E490" s="31"/>
      <c r="F490" s="31"/>
      <c r="G490" s="31"/>
      <c r="H490" s="31"/>
      <c r="I490" s="31"/>
      <c r="J490" s="3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31"/>
      <c r="E491" s="31"/>
      <c r="F491" s="31"/>
      <c r="G491" s="31"/>
      <c r="H491" s="31"/>
      <c r="I491" s="31"/>
      <c r="J491" s="3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31"/>
      <c r="E492" s="31"/>
      <c r="F492" s="31"/>
      <c r="G492" s="31"/>
      <c r="H492" s="31"/>
      <c r="I492" s="31"/>
      <c r="J492" s="3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31"/>
      <c r="E493" s="31"/>
      <c r="F493" s="31"/>
      <c r="G493" s="31"/>
      <c r="H493" s="31"/>
      <c r="I493" s="31"/>
      <c r="J493" s="3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31"/>
      <c r="E494" s="31"/>
      <c r="F494" s="31"/>
      <c r="G494" s="31"/>
      <c r="H494" s="31"/>
      <c r="I494" s="31"/>
      <c r="J494" s="3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31"/>
      <c r="E495" s="31"/>
      <c r="F495" s="31"/>
      <c r="G495" s="31"/>
      <c r="H495" s="31"/>
      <c r="I495" s="31"/>
      <c r="J495" s="3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31"/>
      <c r="E496" s="31"/>
      <c r="F496" s="31"/>
      <c r="G496" s="31"/>
      <c r="H496" s="31"/>
      <c r="I496" s="31"/>
      <c r="J496" s="3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31"/>
      <c r="E497" s="31"/>
      <c r="F497" s="31"/>
      <c r="G497" s="31"/>
      <c r="H497" s="31"/>
      <c r="I497" s="31"/>
      <c r="J497" s="3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31"/>
      <c r="E498" s="31"/>
      <c r="F498" s="31"/>
      <c r="G498" s="31"/>
      <c r="H498" s="31"/>
      <c r="I498" s="31"/>
      <c r="J498" s="3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31"/>
      <c r="E499" s="31"/>
      <c r="F499" s="31"/>
      <c r="G499" s="31"/>
      <c r="H499" s="31"/>
      <c r="I499" s="31"/>
      <c r="J499" s="3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31"/>
      <c r="E500" s="31"/>
      <c r="F500" s="31"/>
      <c r="G500" s="31"/>
      <c r="H500" s="31"/>
      <c r="I500" s="31"/>
      <c r="J500" s="3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31"/>
      <c r="E501" s="31"/>
      <c r="F501" s="31"/>
      <c r="G501" s="31"/>
      <c r="H501" s="31"/>
      <c r="I501" s="31"/>
      <c r="J501" s="3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31"/>
      <c r="E502" s="31"/>
      <c r="F502" s="31"/>
      <c r="G502" s="31"/>
      <c r="H502" s="31"/>
      <c r="I502" s="31"/>
      <c r="J502" s="3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31"/>
      <c r="E503" s="31"/>
      <c r="F503" s="31"/>
      <c r="G503" s="31"/>
      <c r="H503" s="31"/>
      <c r="I503" s="31"/>
      <c r="J503" s="3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31"/>
      <c r="E504" s="31"/>
      <c r="F504" s="31"/>
      <c r="G504" s="31"/>
      <c r="H504" s="31"/>
      <c r="I504" s="31"/>
      <c r="J504" s="3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31"/>
      <c r="E505" s="31"/>
      <c r="F505" s="31"/>
      <c r="G505" s="31"/>
      <c r="H505" s="31"/>
      <c r="I505" s="31"/>
      <c r="J505" s="3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31"/>
      <c r="E506" s="31"/>
      <c r="F506" s="31"/>
      <c r="G506" s="31"/>
      <c r="H506" s="31"/>
      <c r="I506" s="31"/>
      <c r="J506" s="3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31"/>
      <c r="E507" s="31"/>
      <c r="F507" s="31"/>
      <c r="G507" s="31"/>
      <c r="H507" s="31"/>
      <c r="I507" s="31"/>
      <c r="J507" s="3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31"/>
      <c r="E508" s="31"/>
      <c r="F508" s="31"/>
      <c r="G508" s="31"/>
      <c r="H508" s="31"/>
      <c r="I508" s="31"/>
      <c r="J508" s="3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31"/>
      <c r="E509" s="31"/>
      <c r="F509" s="31"/>
      <c r="G509" s="31"/>
      <c r="H509" s="31"/>
      <c r="I509" s="31"/>
      <c r="J509" s="3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31"/>
      <c r="E510" s="31"/>
      <c r="F510" s="31"/>
      <c r="G510" s="31"/>
      <c r="H510" s="31"/>
      <c r="I510" s="31"/>
      <c r="J510" s="3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31"/>
      <c r="E511" s="31"/>
      <c r="F511" s="31"/>
      <c r="G511" s="31"/>
      <c r="H511" s="31"/>
      <c r="I511" s="31"/>
      <c r="J511" s="3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31"/>
      <c r="E512" s="31"/>
      <c r="F512" s="31"/>
      <c r="G512" s="31"/>
      <c r="H512" s="31"/>
      <c r="I512" s="31"/>
      <c r="J512" s="3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31"/>
      <c r="E513" s="31"/>
      <c r="F513" s="31"/>
      <c r="G513" s="31"/>
      <c r="H513" s="31"/>
      <c r="I513" s="31"/>
      <c r="J513" s="3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31"/>
      <c r="E514" s="31"/>
      <c r="F514" s="31"/>
      <c r="G514" s="31"/>
      <c r="H514" s="31"/>
      <c r="I514" s="31"/>
      <c r="J514" s="3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31"/>
      <c r="E515" s="31"/>
      <c r="F515" s="31"/>
      <c r="G515" s="31"/>
      <c r="H515" s="31"/>
      <c r="I515" s="31"/>
      <c r="J515" s="3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31"/>
      <c r="E516" s="31"/>
      <c r="F516" s="31"/>
      <c r="G516" s="31"/>
      <c r="H516" s="31"/>
      <c r="I516" s="31"/>
      <c r="J516" s="3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31"/>
      <c r="E517" s="31"/>
      <c r="F517" s="31"/>
      <c r="G517" s="31"/>
      <c r="H517" s="31"/>
      <c r="I517" s="31"/>
      <c r="J517" s="3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31"/>
      <c r="E518" s="31"/>
      <c r="F518" s="31"/>
      <c r="G518" s="31"/>
      <c r="H518" s="31"/>
      <c r="I518" s="31"/>
      <c r="J518" s="3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31"/>
      <c r="E519" s="31"/>
      <c r="F519" s="31"/>
      <c r="G519" s="31"/>
      <c r="H519" s="31"/>
      <c r="I519" s="31"/>
      <c r="J519" s="3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31"/>
      <c r="E520" s="31"/>
      <c r="F520" s="31"/>
      <c r="G520" s="31"/>
      <c r="H520" s="31"/>
      <c r="I520" s="31"/>
      <c r="J520" s="3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31"/>
      <c r="E521" s="31"/>
      <c r="F521" s="31"/>
      <c r="G521" s="31"/>
      <c r="H521" s="31"/>
      <c r="I521" s="31"/>
      <c r="J521" s="3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31"/>
      <c r="E522" s="31"/>
      <c r="F522" s="31"/>
      <c r="G522" s="31"/>
      <c r="H522" s="31"/>
      <c r="I522" s="31"/>
      <c r="J522" s="3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31"/>
      <c r="E523" s="31"/>
      <c r="F523" s="31"/>
      <c r="G523" s="31"/>
      <c r="H523" s="31"/>
      <c r="I523" s="31"/>
      <c r="J523" s="3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31"/>
      <c r="E524" s="31"/>
      <c r="F524" s="31"/>
      <c r="G524" s="31"/>
      <c r="H524" s="31"/>
      <c r="I524" s="31"/>
      <c r="J524" s="3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31"/>
      <c r="E525" s="31"/>
      <c r="F525" s="31"/>
      <c r="G525" s="31"/>
      <c r="H525" s="31"/>
      <c r="I525" s="31"/>
      <c r="J525" s="3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31"/>
      <c r="E526" s="31"/>
      <c r="F526" s="31"/>
      <c r="G526" s="31"/>
      <c r="H526" s="31"/>
      <c r="I526" s="31"/>
      <c r="J526" s="3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31"/>
      <c r="E527" s="31"/>
      <c r="F527" s="31"/>
      <c r="G527" s="31"/>
      <c r="H527" s="31"/>
      <c r="I527" s="31"/>
      <c r="J527" s="3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31"/>
      <c r="E528" s="31"/>
      <c r="F528" s="31"/>
      <c r="G528" s="31"/>
      <c r="H528" s="31"/>
      <c r="I528" s="31"/>
      <c r="J528" s="3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31"/>
      <c r="E529" s="31"/>
      <c r="F529" s="31"/>
      <c r="G529" s="31"/>
      <c r="H529" s="31"/>
      <c r="I529" s="31"/>
      <c r="J529" s="3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31"/>
      <c r="E530" s="31"/>
      <c r="F530" s="31"/>
      <c r="G530" s="31"/>
      <c r="H530" s="31"/>
      <c r="I530" s="31"/>
      <c r="J530" s="3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31"/>
      <c r="E531" s="31"/>
      <c r="F531" s="31"/>
      <c r="G531" s="31"/>
      <c r="H531" s="31"/>
      <c r="I531" s="31"/>
      <c r="J531" s="3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31"/>
      <c r="E532" s="31"/>
      <c r="F532" s="31"/>
      <c r="G532" s="31"/>
      <c r="H532" s="31"/>
      <c r="I532" s="31"/>
      <c r="J532" s="3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31"/>
      <c r="E533" s="31"/>
      <c r="F533" s="31"/>
      <c r="G533" s="31"/>
      <c r="H533" s="31"/>
      <c r="I533" s="31"/>
      <c r="J533" s="3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31"/>
      <c r="E534" s="31"/>
      <c r="F534" s="31"/>
      <c r="G534" s="31"/>
      <c r="H534" s="31"/>
      <c r="I534" s="31"/>
      <c r="J534" s="3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31"/>
      <c r="E535" s="31"/>
      <c r="F535" s="31"/>
      <c r="G535" s="31"/>
      <c r="H535" s="31"/>
      <c r="I535" s="31"/>
      <c r="J535" s="3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31"/>
      <c r="E536" s="31"/>
      <c r="F536" s="31"/>
      <c r="G536" s="31"/>
      <c r="H536" s="31"/>
      <c r="I536" s="31"/>
      <c r="J536" s="3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31"/>
      <c r="E537" s="31"/>
      <c r="F537" s="31"/>
      <c r="G537" s="31"/>
      <c r="H537" s="31"/>
      <c r="I537" s="31"/>
      <c r="J537" s="3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31"/>
      <c r="E538" s="31"/>
      <c r="F538" s="31"/>
      <c r="G538" s="31"/>
      <c r="H538" s="31"/>
      <c r="I538" s="31"/>
      <c r="J538" s="3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31"/>
      <c r="E539" s="31"/>
      <c r="F539" s="31"/>
      <c r="G539" s="31"/>
      <c r="H539" s="31"/>
      <c r="I539" s="31"/>
      <c r="J539" s="3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31"/>
      <c r="E540" s="31"/>
      <c r="F540" s="31"/>
      <c r="G540" s="31"/>
      <c r="H540" s="31"/>
      <c r="I540" s="31"/>
      <c r="J540" s="3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31"/>
      <c r="E541" s="31"/>
      <c r="F541" s="31"/>
      <c r="G541" s="31"/>
      <c r="H541" s="31"/>
      <c r="I541" s="31"/>
      <c r="J541" s="3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31"/>
      <c r="E542" s="31"/>
      <c r="F542" s="31"/>
      <c r="G542" s="31"/>
      <c r="H542" s="31"/>
      <c r="I542" s="31"/>
      <c r="J542" s="3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31"/>
      <c r="E543" s="31"/>
      <c r="F543" s="31"/>
      <c r="G543" s="31"/>
      <c r="H543" s="31"/>
      <c r="I543" s="31"/>
      <c r="J543" s="3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31"/>
      <c r="E544" s="31"/>
      <c r="F544" s="31"/>
      <c r="G544" s="31"/>
      <c r="H544" s="31"/>
      <c r="I544" s="31"/>
      <c r="J544" s="3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31"/>
      <c r="E545" s="31"/>
      <c r="F545" s="31"/>
      <c r="G545" s="31"/>
      <c r="H545" s="31"/>
      <c r="I545" s="31"/>
      <c r="J545" s="3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31"/>
      <c r="E546" s="31"/>
      <c r="F546" s="31"/>
      <c r="G546" s="31"/>
      <c r="H546" s="31"/>
      <c r="I546" s="31"/>
      <c r="J546" s="3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31"/>
      <c r="E547" s="31"/>
      <c r="F547" s="31"/>
      <c r="G547" s="31"/>
      <c r="H547" s="31"/>
      <c r="I547" s="31"/>
      <c r="J547" s="3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31"/>
      <c r="E548" s="31"/>
      <c r="F548" s="31"/>
      <c r="G548" s="31"/>
      <c r="H548" s="31"/>
      <c r="I548" s="31"/>
      <c r="J548" s="3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31"/>
      <c r="E549" s="31"/>
      <c r="F549" s="31"/>
      <c r="G549" s="31"/>
      <c r="H549" s="31"/>
      <c r="I549" s="31"/>
      <c r="J549" s="3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31"/>
      <c r="E550" s="31"/>
      <c r="F550" s="31"/>
      <c r="G550" s="31"/>
      <c r="H550" s="31"/>
      <c r="I550" s="31"/>
      <c r="J550" s="3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31"/>
      <c r="E551" s="31"/>
      <c r="F551" s="31"/>
      <c r="G551" s="31"/>
      <c r="H551" s="31"/>
      <c r="I551" s="31"/>
      <c r="J551" s="3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31"/>
      <c r="E552" s="31"/>
      <c r="F552" s="31"/>
      <c r="G552" s="31"/>
      <c r="H552" s="31"/>
      <c r="I552" s="31"/>
      <c r="J552" s="3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31"/>
      <c r="E553" s="31"/>
      <c r="F553" s="31"/>
      <c r="G553" s="31"/>
      <c r="H553" s="31"/>
      <c r="I553" s="31"/>
      <c r="J553" s="3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31"/>
      <c r="E554" s="31"/>
      <c r="F554" s="31"/>
      <c r="G554" s="31"/>
      <c r="H554" s="31"/>
      <c r="I554" s="31"/>
      <c r="J554" s="3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31"/>
      <c r="E555" s="31"/>
      <c r="F555" s="31"/>
      <c r="G555" s="31"/>
      <c r="H555" s="31"/>
      <c r="I555" s="31"/>
      <c r="J555" s="3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31"/>
      <c r="E556" s="31"/>
      <c r="F556" s="31"/>
      <c r="G556" s="31"/>
      <c r="H556" s="31"/>
      <c r="I556" s="31"/>
      <c r="J556" s="3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31"/>
      <c r="E557" s="31"/>
      <c r="F557" s="31"/>
      <c r="G557" s="31"/>
      <c r="H557" s="31"/>
      <c r="I557" s="31"/>
      <c r="J557" s="3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31"/>
      <c r="E558" s="31"/>
      <c r="F558" s="31"/>
      <c r="G558" s="31"/>
      <c r="H558" s="31"/>
      <c r="I558" s="31"/>
      <c r="J558" s="3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31"/>
      <c r="E559" s="31"/>
      <c r="F559" s="31"/>
      <c r="G559" s="31"/>
      <c r="H559" s="31"/>
      <c r="I559" s="31"/>
      <c r="J559" s="3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31"/>
      <c r="E560" s="31"/>
      <c r="F560" s="31"/>
      <c r="G560" s="31"/>
      <c r="H560" s="31"/>
      <c r="I560" s="31"/>
      <c r="J560" s="3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31"/>
      <c r="E561" s="31"/>
      <c r="F561" s="31"/>
      <c r="G561" s="31"/>
      <c r="H561" s="31"/>
      <c r="I561" s="31"/>
      <c r="J561" s="3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31"/>
      <c r="E562" s="31"/>
      <c r="F562" s="31"/>
      <c r="G562" s="31"/>
      <c r="H562" s="31"/>
      <c r="I562" s="31"/>
      <c r="J562" s="3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31"/>
      <c r="E563" s="31"/>
      <c r="F563" s="31"/>
      <c r="G563" s="31"/>
      <c r="H563" s="31"/>
      <c r="I563" s="31"/>
      <c r="J563" s="3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31"/>
      <c r="E564" s="31"/>
      <c r="F564" s="31"/>
      <c r="G564" s="31"/>
      <c r="H564" s="31"/>
      <c r="I564" s="31"/>
      <c r="J564" s="3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31"/>
      <c r="E565" s="31"/>
      <c r="F565" s="31"/>
      <c r="G565" s="31"/>
      <c r="H565" s="31"/>
      <c r="I565" s="31"/>
      <c r="J565" s="3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31"/>
      <c r="E566" s="31"/>
      <c r="F566" s="31"/>
      <c r="G566" s="31"/>
      <c r="H566" s="31"/>
      <c r="I566" s="31"/>
      <c r="J566" s="3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31"/>
      <c r="E567" s="31"/>
      <c r="F567" s="31"/>
      <c r="G567" s="31"/>
      <c r="H567" s="31"/>
      <c r="I567" s="31"/>
      <c r="J567" s="3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31"/>
      <c r="E568" s="31"/>
      <c r="F568" s="31"/>
      <c r="G568" s="31"/>
      <c r="H568" s="31"/>
      <c r="I568" s="31"/>
      <c r="J568" s="3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31"/>
      <c r="E569" s="31"/>
      <c r="F569" s="31"/>
      <c r="G569" s="31"/>
      <c r="H569" s="31"/>
      <c r="I569" s="31"/>
      <c r="J569" s="3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31"/>
      <c r="E570" s="31"/>
      <c r="F570" s="31"/>
      <c r="G570" s="31"/>
      <c r="H570" s="31"/>
      <c r="I570" s="31"/>
      <c r="J570" s="3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31"/>
      <c r="E571" s="31"/>
      <c r="F571" s="31"/>
      <c r="G571" s="31"/>
      <c r="H571" s="31"/>
      <c r="I571" s="31"/>
      <c r="J571" s="3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31"/>
      <c r="E572" s="31"/>
      <c r="F572" s="31"/>
      <c r="G572" s="31"/>
      <c r="H572" s="31"/>
      <c r="I572" s="31"/>
      <c r="J572" s="3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31"/>
      <c r="E573" s="31"/>
      <c r="F573" s="31"/>
      <c r="G573" s="31"/>
      <c r="H573" s="31"/>
      <c r="I573" s="31"/>
      <c r="J573" s="3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31"/>
      <c r="E574" s="31"/>
      <c r="F574" s="31"/>
      <c r="G574" s="31"/>
      <c r="H574" s="31"/>
      <c r="I574" s="31"/>
      <c r="J574" s="3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31"/>
      <c r="E575" s="31"/>
      <c r="F575" s="31"/>
      <c r="G575" s="31"/>
      <c r="H575" s="31"/>
      <c r="I575" s="31"/>
      <c r="J575" s="3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31"/>
      <c r="E576" s="31"/>
      <c r="F576" s="31"/>
      <c r="G576" s="31"/>
      <c r="H576" s="31"/>
      <c r="I576" s="31"/>
      <c r="J576" s="3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31"/>
      <c r="E577" s="31"/>
      <c r="F577" s="31"/>
      <c r="G577" s="31"/>
      <c r="H577" s="31"/>
      <c r="I577" s="31"/>
      <c r="J577" s="3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31"/>
      <c r="E578" s="31"/>
      <c r="F578" s="31"/>
      <c r="G578" s="31"/>
      <c r="H578" s="31"/>
      <c r="I578" s="31"/>
      <c r="J578" s="3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31"/>
      <c r="E579" s="31"/>
      <c r="F579" s="31"/>
      <c r="G579" s="31"/>
      <c r="H579" s="31"/>
      <c r="I579" s="31"/>
      <c r="J579" s="3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31"/>
      <c r="E580" s="31"/>
      <c r="F580" s="31"/>
      <c r="G580" s="31"/>
      <c r="H580" s="31"/>
      <c r="I580" s="31"/>
      <c r="J580" s="3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31"/>
      <c r="E581" s="31"/>
      <c r="F581" s="31"/>
      <c r="G581" s="31"/>
      <c r="H581" s="31"/>
      <c r="I581" s="31"/>
      <c r="J581" s="3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31"/>
      <c r="E582" s="31"/>
      <c r="F582" s="31"/>
      <c r="G582" s="31"/>
      <c r="H582" s="31"/>
      <c r="I582" s="31"/>
      <c r="J582" s="3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31"/>
      <c r="E583" s="31"/>
      <c r="F583" s="31"/>
      <c r="G583" s="31"/>
      <c r="H583" s="31"/>
      <c r="I583" s="31"/>
      <c r="J583" s="3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31"/>
      <c r="E584" s="31"/>
      <c r="F584" s="31"/>
      <c r="G584" s="31"/>
      <c r="H584" s="31"/>
      <c r="I584" s="31"/>
      <c r="J584" s="3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31"/>
      <c r="E585" s="31"/>
      <c r="F585" s="31"/>
      <c r="G585" s="31"/>
      <c r="H585" s="31"/>
      <c r="I585" s="31"/>
      <c r="J585" s="3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31"/>
      <c r="E586" s="31"/>
      <c r="F586" s="31"/>
      <c r="G586" s="31"/>
      <c r="H586" s="31"/>
      <c r="I586" s="31"/>
      <c r="J586" s="3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31"/>
      <c r="E587" s="31"/>
      <c r="F587" s="31"/>
      <c r="G587" s="31"/>
      <c r="H587" s="31"/>
      <c r="I587" s="31"/>
      <c r="J587" s="3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31"/>
      <c r="E588" s="31"/>
      <c r="F588" s="31"/>
      <c r="G588" s="31"/>
      <c r="H588" s="31"/>
      <c r="I588" s="31"/>
      <c r="J588" s="3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31"/>
      <c r="E589" s="31"/>
      <c r="F589" s="31"/>
      <c r="G589" s="31"/>
      <c r="H589" s="31"/>
      <c r="I589" s="31"/>
      <c r="J589" s="3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31"/>
      <c r="E590" s="31"/>
      <c r="F590" s="31"/>
      <c r="G590" s="31"/>
      <c r="H590" s="31"/>
      <c r="I590" s="31"/>
      <c r="J590" s="3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31"/>
      <c r="E591" s="31"/>
      <c r="F591" s="31"/>
      <c r="G591" s="31"/>
      <c r="H591" s="31"/>
      <c r="I591" s="31"/>
      <c r="J591" s="3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31"/>
      <c r="E592" s="31"/>
      <c r="F592" s="31"/>
      <c r="G592" s="31"/>
      <c r="H592" s="31"/>
      <c r="I592" s="31"/>
      <c r="J592" s="3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31"/>
      <c r="E593" s="31"/>
      <c r="F593" s="31"/>
      <c r="G593" s="31"/>
      <c r="H593" s="31"/>
      <c r="I593" s="31"/>
      <c r="J593" s="3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31"/>
      <c r="E594" s="31"/>
      <c r="F594" s="31"/>
      <c r="G594" s="31"/>
      <c r="H594" s="31"/>
      <c r="I594" s="31"/>
      <c r="J594" s="3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31"/>
      <c r="E595" s="31"/>
      <c r="F595" s="31"/>
      <c r="G595" s="31"/>
      <c r="H595" s="31"/>
      <c r="I595" s="31"/>
      <c r="J595" s="3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31"/>
      <c r="E596" s="31"/>
      <c r="F596" s="31"/>
      <c r="G596" s="31"/>
      <c r="H596" s="31"/>
      <c r="I596" s="31"/>
      <c r="J596" s="3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31"/>
      <c r="E597" s="31"/>
      <c r="F597" s="31"/>
      <c r="G597" s="31"/>
      <c r="H597" s="31"/>
      <c r="I597" s="31"/>
      <c r="J597" s="3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31"/>
      <c r="E598" s="31"/>
      <c r="F598" s="31"/>
      <c r="G598" s="31"/>
      <c r="H598" s="31"/>
      <c r="I598" s="31"/>
      <c r="J598" s="3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31"/>
      <c r="E599" s="31"/>
      <c r="F599" s="31"/>
      <c r="G599" s="31"/>
      <c r="H599" s="31"/>
      <c r="I599" s="31"/>
      <c r="J599" s="3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31"/>
      <c r="E600" s="31"/>
      <c r="F600" s="31"/>
      <c r="G600" s="31"/>
      <c r="H600" s="31"/>
      <c r="I600" s="31"/>
      <c r="J600" s="3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31"/>
      <c r="E601" s="31"/>
      <c r="F601" s="31"/>
      <c r="G601" s="31"/>
      <c r="H601" s="31"/>
      <c r="I601" s="31"/>
      <c r="J601" s="3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31"/>
      <c r="E602" s="31"/>
      <c r="F602" s="31"/>
      <c r="G602" s="31"/>
      <c r="H602" s="31"/>
      <c r="I602" s="31"/>
      <c r="J602" s="3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31"/>
      <c r="E603" s="31"/>
      <c r="F603" s="31"/>
      <c r="G603" s="31"/>
      <c r="H603" s="31"/>
      <c r="I603" s="31"/>
      <c r="J603" s="3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31"/>
      <c r="E604" s="31"/>
      <c r="F604" s="31"/>
      <c r="G604" s="31"/>
      <c r="H604" s="31"/>
      <c r="I604" s="31"/>
      <c r="J604" s="3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31"/>
      <c r="E605" s="31"/>
      <c r="F605" s="31"/>
      <c r="G605" s="31"/>
      <c r="H605" s="31"/>
      <c r="I605" s="31"/>
      <c r="J605" s="3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31"/>
      <c r="E606" s="31"/>
      <c r="F606" s="31"/>
      <c r="G606" s="31"/>
      <c r="H606" s="31"/>
      <c r="I606" s="31"/>
      <c r="J606" s="3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31"/>
      <c r="E607" s="31"/>
      <c r="F607" s="31"/>
      <c r="G607" s="31"/>
      <c r="H607" s="31"/>
      <c r="I607" s="31"/>
      <c r="J607" s="3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31"/>
      <c r="E608" s="31"/>
      <c r="F608" s="31"/>
      <c r="G608" s="31"/>
      <c r="H608" s="31"/>
      <c r="I608" s="31"/>
      <c r="J608" s="3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31"/>
      <c r="E609" s="31"/>
      <c r="F609" s="31"/>
      <c r="G609" s="31"/>
      <c r="H609" s="31"/>
      <c r="I609" s="31"/>
      <c r="J609" s="3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31"/>
      <c r="E610" s="31"/>
      <c r="F610" s="31"/>
      <c r="G610" s="31"/>
      <c r="H610" s="31"/>
      <c r="I610" s="31"/>
      <c r="J610" s="3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31"/>
      <c r="E611" s="31"/>
      <c r="F611" s="31"/>
      <c r="G611" s="31"/>
      <c r="H611" s="31"/>
      <c r="I611" s="31"/>
      <c r="J611" s="3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31"/>
      <c r="E612" s="31"/>
      <c r="F612" s="31"/>
      <c r="G612" s="31"/>
      <c r="H612" s="31"/>
      <c r="I612" s="31"/>
      <c r="J612" s="3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31"/>
      <c r="E613" s="31"/>
      <c r="F613" s="31"/>
      <c r="G613" s="31"/>
      <c r="H613" s="31"/>
      <c r="I613" s="31"/>
      <c r="J613" s="3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31"/>
      <c r="E614" s="31"/>
      <c r="F614" s="31"/>
      <c r="G614" s="31"/>
      <c r="H614" s="31"/>
      <c r="I614" s="31"/>
      <c r="J614" s="3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31"/>
      <c r="E615" s="31"/>
      <c r="F615" s="31"/>
      <c r="G615" s="31"/>
      <c r="H615" s="31"/>
      <c r="I615" s="31"/>
      <c r="J615" s="3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31"/>
      <c r="E616" s="31"/>
      <c r="F616" s="31"/>
      <c r="G616" s="31"/>
      <c r="H616" s="31"/>
      <c r="I616" s="31"/>
      <c r="J616" s="3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31"/>
      <c r="E617" s="31"/>
      <c r="F617" s="31"/>
      <c r="G617" s="31"/>
      <c r="H617" s="31"/>
      <c r="I617" s="31"/>
      <c r="J617" s="3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31"/>
      <c r="E618" s="31"/>
      <c r="F618" s="31"/>
      <c r="G618" s="31"/>
      <c r="H618" s="31"/>
      <c r="I618" s="31"/>
      <c r="J618" s="3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31"/>
      <c r="E619" s="31"/>
      <c r="F619" s="31"/>
      <c r="G619" s="31"/>
      <c r="H619" s="31"/>
      <c r="I619" s="31"/>
      <c r="J619" s="3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31"/>
      <c r="E620" s="31"/>
      <c r="F620" s="31"/>
      <c r="G620" s="31"/>
      <c r="H620" s="31"/>
      <c r="I620" s="31"/>
      <c r="J620" s="3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31"/>
      <c r="E621" s="31"/>
      <c r="F621" s="31"/>
      <c r="G621" s="31"/>
      <c r="H621" s="31"/>
      <c r="I621" s="31"/>
      <c r="J621" s="3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31"/>
      <c r="E622" s="31"/>
      <c r="F622" s="31"/>
      <c r="G622" s="31"/>
      <c r="H622" s="31"/>
      <c r="I622" s="31"/>
      <c r="J622" s="3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31"/>
      <c r="E623" s="31"/>
      <c r="F623" s="31"/>
      <c r="G623" s="31"/>
      <c r="H623" s="31"/>
      <c r="I623" s="31"/>
      <c r="J623" s="3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31"/>
      <c r="E624" s="31"/>
      <c r="F624" s="31"/>
      <c r="G624" s="31"/>
      <c r="H624" s="31"/>
      <c r="I624" s="31"/>
      <c r="J624" s="3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31"/>
      <c r="E625" s="31"/>
      <c r="F625" s="31"/>
      <c r="G625" s="31"/>
      <c r="H625" s="31"/>
      <c r="I625" s="31"/>
      <c r="J625" s="3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31"/>
      <c r="E626" s="31"/>
      <c r="F626" s="31"/>
      <c r="G626" s="31"/>
      <c r="H626" s="31"/>
      <c r="I626" s="31"/>
      <c r="J626" s="3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31"/>
      <c r="E627" s="31"/>
      <c r="F627" s="31"/>
      <c r="G627" s="31"/>
      <c r="H627" s="31"/>
      <c r="I627" s="31"/>
      <c r="J627" s="3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31"/>
      <c r="E628" s="31"/>
      <c r="F628" s="31"/>
      <c r="G628" s="31"/>
      <c r="H628" s="31"/>
      <c r="I628" s="31"/>
      <c r="J628" s="3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31"/>
      <c r="E629" s="31"/>
      <c r="F629" s="31"/>
      <c r="G629" s="31"/>
      <c r="H629" s="31"/>
      <c r="I629" s="31"/>
      <c r="J629" s="3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31"/>
      <c r="E630" s="31"/>
      <c r="F630" s="31"/>
      <c r="G630" s="31"/>
      <c r="H630" s="31"/>
      <c r="I630" s="31"/>
      <c r="J630" s="3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31"/>
      <c r="E631" s="31"/>
      <c r="F631" s="31"/>
      <c r="G631" s="31"/>
      <c r="H631" s="31"/>
      <c r="I631" s="31"/>
      <c r="J631" s="3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31"/>
      <c r="E632" s="31"/>
      <c r="F632" s="31"/>
      <c r="G632" s="31"/>
      <c r="H632" s="31"/>
      <c r="I632" s="31"/>
      <c r="J632" s="3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31"/>
      <c r="E633" s="31"/>
      <c r="F633" s="31"/>
      <c r="G633" s="31"/>
      <c r="H633" s="31"/>
      <c r="I633" s="31"/>
      <c r="J633" s="3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31"/>
      <c r="E634" s="31"/>
      <c r="F634" s="31"/>
      <c r="G634" s="31"/>
      <c r="H634" s="31"/>
      <c r="I634" s="31"/>
      <c r="J634" s="3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31"/>
      <c r="E635" s="31"/>
      <c r="F635" s="31"/>
      <c r="G635" s="31"/>
      <c r="H635" s="31"/>
      <c r="I635" s="31"/>
      <c r="J635" s="3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31"/>
      <c r="E636" s="31"/>
      <c r="F636" s="31"/>
      <c r="G636" s="31"/>
      <c r="H636" s="31"/>
      <c r="I636" s="31"/>
      <c r="J636" s="3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31"/>
      <c r="E637" s="31"/>
      <c r="F637" s="31"/>
      <c r="G637" s="31"/>
      <c r="H637" s="31"/>
      <c r="I637" s="31"/>
      <c r="J637" s="3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31"/>
      <c r="E638" s="31"/>
      <c r="F638" s="31"/>
      <c r="G638" s="31"/>
      <c r="H638" s="31"/>
      <c r="I638" s="31"/>
      <c r="J638" s="3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31"/>
      <c r="E639" s="31"/>
      <c r="F639" s="31"/>
      <c r="G639" s="31"/>
      <c r="H639" s="31"/>
      <c r="I639" s="31"/>
      <c r="J639" s="3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31"/>
      <c r="E640" s="31"/>
      <c r="F640" s="31"/>
      <c r="G640" s="31"/>
      <c r="H640" s="31"/>
      <c r="I640" s="31"/>
      <c r="J640" s="3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31"/>
      <c r="E641" s="31"/>
      <c r="F641" s="31"/>
      <c r="G641" s="31"/>
      <c r="H641" s="31"/>
      <c r="I641" s="31"/>
      <c r="J641" s="3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31"/>
      <c r="E642" s="31"/>
      <c r="F642" s="31"/>
      <c r="G642" s="31"/>
      <c r="H642" s="31"/>
      <c r="I642" s="31"/>
      <c r="J642" s="3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31"/>
      <c r="E643" s="31"/>
      <c r="F643" s="31"/>
      <c r="G643" s="31"/>
      <c r="H643" s="31"/>
      <c r="I643" s="31"/>
      <c r="J643" s="3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31"/>
      <c r="E644" s="31"/>
      <c r="F644" s="31"/>
      <c r="G644" s="31"/>
      <c r="H644" s="31"/>
      <c r="I644" s="31"/>
      <c r="J644" s="3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31"/>
      <c r="E645" s="31"/>
      <c r="F645" s="31"/>
      <c r="G645" s="31"/>
      <c r="H645" s="31"/>
      <c r="I645" s="31"/>
      <c r="J645" s="3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31"/>
      <c r="E646" s="31"/>
      <c r="F646" s="31"/>
      <c r="G646" s="31"/>
      <c r="H646" s="31"/>
      <c r="I646" s="31"/>
      <c r="J646" s="3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31"/>
      <c r="E647" s="31"/>
      <c r="F647" s="31"/>
      <c r="G647" s="31"/>
      <c r="H647" s="31"/>
      <c r="I647" s="31"/>
      <c r="J647" s="3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31"/>
      <c r="E648" s="31"/>
      <c r="F648" s="31"/>
      <c r="G648" s="31"/>
      <c r="H648" s="31"/>
      <c r="I648" s="31"/>
      <c r="J648" s="3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31"/>
      <c r="E649" s="31"/>
      <c r="F649" s="31"/>
      <c r="G649" s="31"/>
      <c r="H649" s="31"/>
      <c r="I649" s="31"/>
      <c r="J649" s="3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31"/>
      <c r="E650" s="31"/>
      <c r="F650" s="31"/>
      <c r="G650" s="31"/>
      <c r="H650" s="31"/>
      <c r="I650" s="31"/>
      <c r="J650" s="3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31"/>
      <c r="E651" s="31"/>
      <c r="F651" s="31"/>
      <c r="G651" s="31"/>
      <c r="H651" s="31"/>
      <c r="I651" s="31"/>
      <c r="J651" s="3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31"/>
      <c r="E652" s="31"/>
      <c r="F652" s="31"/>
      <c r="G652" s="31"/>
      <c r="H652" s="31"/>
      <c r="I652" s="31"/>
      <c r="J652" s="3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31"/>
      <c r="E653" s="31"/>
      <c r="F653" s="31"/>
      <c r="G653" s="31"/>
      <c r="H653" s="31"/>
      <c r="I653" s="31"/>
      <c r="J653" s="3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31"/>
      <c r="E654" s="31"/>
      <c r="F654" s="31"/>
      <c r="G654" s="31"/>
      <c r="H654" s="31"/>
      <c r="I654" s="31"/>
      <c r="J654" s="3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31"/>
      <c r="E655" s="31"/>
      <c r="F655" s="31"/>
      <c r="G655" s="31"/>
      <c r="H655" s="31"/>
      <c r="I655" s="31"/>
      <c r="J655" s="3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31"/>
      <c r="E656" s="31"/>
      <c r="F656" s="31"/>
      <c r="G656" s="31"/>
      <c r="H656" s="31"/>
      <c r="I656" s="31"/>
      <c r="J656" s="3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31"/>
      <c r="E657" s="31"/>
      <c r="F657" s="31"/>
      <c r="G657" s="31"/>
      <c r="H657" s="31"/>
      <c r="I657" s="31"/>
      <c r="J657" s="3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31"/>
      <c r="E658" s="31"/>
      <c r="F658" s="31"/>
      <c r="G658" s="31"/>
      <c r="H658" s="31"/>
      <c r="I658" s="31"/>
      <c r="J658" s="3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31"/>
      <c r="E659" s="31"/>
      <c r="F659" s="31"/>
      <c r="G659" s="31"/>
      <c r="H659" s="31"/>
      <c r="I659" s="31"/>
      <c r="J659" s="3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31"/>
      <c r="E660" s="31"/>
      <c r="F660" s="31"/>
      <c r="G660" s="31"/>
      <c r="H660" s="31"/>
      <c r="I660" s="31"/>
      <c r="J660" s="3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31"/>
      <c r="E661" s="31"/>
      <c r="F661" s="31"/>
      <c r="G661" s="31"/>
      <c r="H661" s="31"/>
      <c r="I661" s="31"/>
      <c r="J661" s="3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31"/>
      <c r="E662" s="31"/>
      <c r="F662" s="31"/>
      <c r="G662" s="31"/>
      <c r="H662" s="31"/>
      <c r="I662" s="31"/>
      <c r="J662" s="3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31"/>
      <c r="E663" s="31"/>
      <c r="F663" s="31"/>
      <c r="G663" s="31"/>
      <c r="H663" s="31"/>
      <c r="I663" s="31"/>
      <c r="J663" s="3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31"/>
      <c r="E664" s="31"/>
      <c r="F664" s="31"/>
      <c r="G664" s="31"/>
      <c r="H664" s="31"/>
      <c r="I664" s="31"/>
      <c r="J664" s="3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31"/>
      <c r="E665" s="31"/>
      <c r="F665" s="31"/>
      <c r="G665" s="31"/>
      <c r="H665" s="31"/>
      <c r="I665" s="31"/>
      <c r="J665" s="3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31"/>
      <c r="E666" s="31"/>
      <c r="F666" s="31"/>
      <c r="G666" s="31"/>
      <c r="H666" s="31"/>
      <c r="I666" s="31"/>
      <c r="J666" s="3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31"/>
      <c r="E667" s="31"/>
      <c r="F667" s="31"/>
      <c r="G667" s="31"/>
      <c r="H667" s="31"/>
      <c r="I667" s="31"/>
      <c r="J667" s="3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31"/>
      <c r="E668" s="31"/>
      <c r="F668" s="31"/>
      <c r="G668" s="31"/>
      <c r="H668" s="31"/>
      <c r="I668" s="31"/>
      <c r="J668" s="3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31"/>
      <c r="E669" s="31"/>
      <c r="F669" s="31"/>
      <c r="G669" s="31"/>
      <c r="H669" s="31"/>
      <c r="I669" s="31"/>
      <c r="J669" s="3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31"/>
      <c r="E670" s="31"/>
      <c r="F670" s="31"/>
      <c r="G670" s="31"/>
      <c r="H670" s="31"/>
      <c r="I670" s="31"/>
      <c r="J670" s="3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31"/>
      <c r="E671" s="31"/>
      <c r="F671" s="31"/>
      <c r="G671" s="31"/>
      <c r="H671" s="31"/>
      <c r="I671" s="31"/>
      <c r="J671" s="3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31"/>
      <c r="E672" s="31"/>
      <c r="F672" s="31"/>
      <c r="G672" s="31"/>
      <c r="H672" s="31"/>
      <c r="I672" s="31"/>
      <c r="J672" s="3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31"/>
      <c r="E673" s="31"/>
      <c r="F673" s="31"/>
      <c r="G673" s="31"/>
      <c r="H673" s="31"/>
      <c r="I673" s="31"/>
      <c r="J673" s="3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31"/>
      <c r="E674" s="31"/>
      <c r="F674" s="31"/>
      <c r="G674" s="31"/>
      <c r="H674" s="31"/>
      <c r="I674" s="31"/>
      <c r="J674" s="3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31"/>
      <c r="E675" s="31"/>
      <c r="F675" s="31"/>
      <c r="G675" s="31"/>
      <c r="H675" s="31"/>
      <c r="I675" s="31"/>
      <c r="J675" s="3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31"/>
      <c r="E676" s="31"/>
      <c r="F676" s="31"/>
      <c r="G676" s="31"/>
      <c r="H676" s="31"/>
      <c r="I676" s="31"/>
      <c r="J676" s="3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31"/>
      <c r="E677" s="31"/>
      <c r="F677" s="31"/>
      <c r="G677" s="31"/>
      <c r="H677" s="31"/>
      <c r="I677" s="31"/>
      <c r="J677" s="3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31"/>
      <c r="E678" s="31"/>
      <c r="F678" s="31"/>
      <c r="G678" s="31"/>
      <c r="H678" s="31"/>
      <c r="I678" s="31"/>
      <c r="J678" s="3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31"/>
      <c r="E679" s="31"/>
      <c r="F679" s="31"/>
      <c r="G679" s="31"/>
      <c r="H679" s="31"/>
      <c r="I679" s="31"/>
      <c r="J679" s="3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31"/>
      <c r="E680" s="31"/>
      <c r="F680" s="31"/>
      <c r="G680" s="31"/>
      <c r="H680" s="31"/>
      <c r="I680" s="31"/>
      <c r="J680" s="3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31"/>
      <c r="E681" s="31"/>
      <c r="F681" s="31"/>
      <c r="G681" s="31"/>
      <c r="H681" s="31"/>
      <c r="I681" s="31"/>
      <c r="J681" s="3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31"/>
      <c r="E682" s="31"/>
      <c r="F682" s="31"/>
      <c r="G682" s="31"/>
      <c r="H682" s="31"/>
      <c r="I682" s="31"/>
      <c r="J682" s="3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31"/>
      <c r="E683" s="31"/>
      <c r="F683" s="31"/>
      <c r="G683" s="31"/>
      <c r="H683" s="31"/>
      <c r="I683" s="31"/>
      <c r="J683" s="3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31"/>
      <c r="E684" s="31"/>
      <c r="F684" s="31"/>
      <c r="G684" s="31"/>
      <c r="H684" s="31"/>
      <c r="I684" s="31"/>
      <c r="J684" s="3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31"/>
      <c r="E685" s="31"/>
      <c r="F685" s="31"/>
      <c r="G685" s="31"/>
      <c r="H685" s="31"/>
      <c r="I685" s="31"/>
      <c r="J685" s="3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31"/>
      <c r="E686" s="31"/>
      <c r="F686" s="31"/>
      <c r="G686" s="31"/>
      <c r="H686" s="31"/>
      <c r="I686" s="31"/>
      <c r="J686" s="3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31"/>
      <c r="E687" s="31"/>
      <c r="F687" s="31"/>
      <c r="G687" s="31"/>
      <c r="H687" s="31"/>
      <c r="I687" s="31"/>
      <c r="J687" s="3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31"/>
      <c r="E688" s="31"/>
      <c r="F688" s="31"/>
      <c r="G688" s="31"/>
      <c r="H688" s="31"/>
      <c r="I688" s="31"/>
      <c r="J688" s="3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31"/>
      <c r="E689" s="31"/>
      <c r="F689" s="31"/>
      <c r="G689" s="31"/>
      <c r="H689" s="31"/>
      <c r="I689" s="31"/>
      <c r="J689" s="3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31"/>
      <c r="E690" s="31"/>
      <c r="F690" s="31"/>
      <c r="G690" s="31"/>
      <c r="H690" s="31"/>
      <c r="I690" s="31"/>
      <c r="J690" s="3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31"/>
      <c r="E691" s="31"/>
      <c r="F691" s="31"/>
      <c r="G691" s="31"/>
      <c r="H691" s="31"/>
      <c r="I691" s="31"/>
      <c r="J691" s="3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31"/>
      <c r="E692" s="31"/>
      <c r="F692" s="31"/>
      <c r="G692" s="31"/>
      <c r="H692" s="31"/>
      <c r="I692" s="31"/>
      <c r="J692" s="3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31"/>
      <c r="E693" s="31"/>
      <c r="F693" s="31"/>
      <c r="G693" s="31"/>
      <c r="H693" s="31"/>
      <c r="I693" s="31"/>
      <c r="J693" s="3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31"/>
      <c r="E694" s="31"/>
      <c r="F694" s="31"/>
      <c r="G694" s="31"/>
      <c r="H694" s="31"/>
      <c r="I694" s="31"/>
      <c r="J694" s="3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31"/>
      <c r="E695" s="31"/>
      <c r="F695" s="31"/>
      <c r="G695" s="31"/>
      <c r="H695" s="31"/>
      <c r="I695" s="31"/>
      <c r="J695" s="3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31"/>
      <c r="E696" s="31"/>
      <c r="F696" s="31"/>
      <c r="G696" s="31"/>
      <c r="H696" s="31"/>
      <c r="I696" s="31"/>
      <c r="J696" s="3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31"/>
      <c r="E697" s="31"/>
      <c r="F697" s="31"/>
      <c r="G697" s="31"/>
      <c r="H697" s="31"/>
      <c r="I697" s="31"/>
      <c r="J697" s="3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31"/>
      <c r="E698" s="31"/>
      <c r="F698" s="31"/>
      <c r="G698" s="31"/>
      <c r="H698" s="31"/>
      <c r="I698" s="31"/>
      <c r="J698" s="3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31"/>
      <c r="E699" s="31"/>
      <c r="F699" s="31"/>
      <c r="G699" s="31"/>
      <c r="H699" s="31"/>
      <c r="I699" s="31"/>
      <c r="J699" s="3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31"/>
      <c r="E700" s="31"/>
      <c r="F700" s="31"/>
      <c r="G700" s="31"/>
      <c r="H700" s="31"/>
      <c r="I700" s="31"/>
      <c r="J700" s="3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31"/>
      <c r="E701" s="31"/>
      <c r="F701" s="31"/>
      <c r="G701" s="31"/>
      <c r="H701" s="31"/>
      <c r="I701" s="31"/>
      <c r="J701" s="3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31"/>
      <c r="E702" s="31"/>
      <c r="F702" s="31"/>
      <c r="G702" s="31"/>
      <c r="H702" s="31"/>
      <c r="I702" s="31"/>
      <c r="J702" s="3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31"/>
      <c r="E703" s="31"/>
      <c r="F703" s="31"/>
      <c r="G703" s="31"/>
      <c r="H703" s="31"/>
      <c r="I703" s="31"/>
      <c r="J703" s="3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31"/>
      <c r="E704" s="31"/>
      <c r="F704" s="31"/>
      <c r="G704" s="31"/>
      <c r="H704" s="31"/>
      <c r="I704" s="31"/>
      <c r="J704" s="3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31"/>
      <c r="E705" s="31"/>
      <c r="F705" s="31"/>
      <c r="G705" s="31"/>
      <c r="H705" s="31"/>
      <c r="I705" s="31"/>
      <c r="J705" s="3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31"/>
      <c r="E706" s="31"/>
      <c r="F706" s="31"/>
      <c r="G706" s="31"/>
      <c r="H706" s="31"/>
      <c r="I706" s="31"/>
      <c r="J706" s="3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31"/>
      <c r="E707" s="31"/>
      <c r="F707" s="31"/>
      <c r="G707" s="31"/>
      <c r="H707" s="31"/>
      <c r="I707" s="31"/>
      <c r="J707" s="3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31"/>
      <c r="E708" s="31"/>
      <c r="F708" s="31"/>
      <c r="G708" s="31"/>
      <c r="H708" s="31"/>
      <c r="I708" s="31"/>
      <c r="J708" s="3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31"/>
      <c r="E709" s="31"/>
      <c r="F709" s="31"/>
      <c r="G709" s="31"/>
      <c r="H709" s="31"/>
      <c r="I709" s="31"/>
      <c r="J709" s="3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31"/>
      <c r="E710" s="31"/>
      <c r="F710" s="31"/>
      <c r="G710" s="31"/>
      <c r="H710" s="31"/>
      <c r="I710" s="31"/>
      <c r="J710" s="3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31"/>
      <c r="E711" s="31"/>
      <c r="F711" s="31"/>
      <c r="G711" s="31"/>
      <c r="H711" s="31"/>
      <c r="I711" s="31"/>
      <c r="J711" s="3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31"/>
      <c r="E712" s="31"/>
      <c r="F712" s="31"/>
      <c r="G712" s="31"/>
      <c r="H712" s="31"/>
      <c r="I712" s="31"/>
      <c r="J712" s="3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31"/>
      <c r="E713" s="31"/>
      <c r="F713" s="31"/>
      <c r="G713" s="31"/>
      <c r="H713" s="31"/>
      <c r="I713" s="31"/>
      <c r="J713" s="3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31"/>
      <c r="E714" s="31"/>
      <c r="F714" s="31"/>
      <c r="G714" s="31"/>
      <c r="H714" s="31"/>
      <c r="I714" s="31"/>
      <c r="J714" s="3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31"/>
      <c r="E715" s="31"/>
      <c r="F715" s="31"/>
      <c r="G715" s="31"/>
      <c r="H715" s="31"/>
      <c r="I715" s="31"/>
      <c r="J715" s="3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31"/>
      <c r="E716" s="31"/>
      <c r="F716" s="31"/>
      <c r="G716" s="31"/>
      <c r="H716" s="31"/>
      <c r="I716" s="31"/>
      <c r="J716" s="3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31"/>
      <c r="E717" s="31"/>
      <c r="F717" s="31"/>
      <c r="G717" s="31"/>
      <c r="H717" s="31"/>
      <c r="I717" s="31"/>
      <c r="J717" s="3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31"/>
      <c r="E718" s="31"/>
      <c r="F718" s="31"/>
      <c r="G718" s="31"/>
      <c r="H718" s="31"/>
      <c r="I718" s="31"/>
      <c r="J718" s="3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31"/>
      <c r="E719" s="31"/>
      <c r="F719" s="31"/>
      <c r="G719" s="31"/>
      <c r="H719" s="31"/>
      <c r="I719" s="31"/>
      <c r="J719" s="3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31"/>
      <c r="E720" s="31"/>
      <c r="F720" s="31"/>
      <c r="G720" s="31"/>
      <c r="H720" s="31"/>
      <c r="I720" s="31"/>
      <c r="J720" s="3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31"/>
      <c r="E721" s="31"/>
      <c r="F721" s="31"/>
      <c r="G721" s="31"/>
      <c r="H721" s="31"/>
      <c r="I721" s="31"/>
      <c r="J721" s="3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31"/>
      <c r="E722" s="31"/>
      <c r="F722" s="31"/>
      <c r="G722" s="31"/>
      <c r="H722" s="31"/>
      <c r="I722" s="31"/>
      <c r="J722" s="3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31"/>
      <c r="E723" s="31"/>
      <c r="F723" s="31"/>
      <c r="G723" s="31"/>
      <c r="H723" s="31"/>
      <c r="I723" s="31"/>
      <c r="J723" s="3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31"/>
      <c r="E724" s="31"/>
      <c r="F724" s="31"/>
      <c r="G724" s="31"/>
      <c r="H724" s="31"/>
      <c r="I724" s="31"/>
      <c r="J724" s="3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31"/>
      <c r="E725" s="31"/>
      <c r="F725" s="31"/>
      <c r="G725" s="31"/>
      <c r="H725" s="31"/>
      <c r="I725" s="31"/>
      <c r="J725" s="3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31"/>
      <c r="E726" s="31"/>
      <c r="F726" s="31"/>
      <c r="G726" s="31"/>
      <c r="H726" s="31"/>
      <c r="I726" s="31"/>
      <c r="J726" s="3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31"/>
      <c r="E727" s="31"/>
      <c r="F727" s="31"/>
      <c r="G727" s="31"/>
      <c r="H727" s="31"/>
      <c r="I727" s="31"/>
      <c r="J727" s="3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31"/>
      <c r="E728" s="31"/>
      <c r="F728" s="31"/>
      <c r="G728" s="31"/>
      <c r="H728" s="31"/>
      <c r="I728" s="31"/>
      <c r="J728" s="3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31"/>
      <c r="E729" s="31"/>
      <c r="F729" s="31"/>
      <c r="G729" s="31"/>
      <c r="H729" s="31"/>
      <c r="I729" s="31"/>
      <c r="J729" s="3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31"/>
      <c r="E730" s="31"/>
      <c r="F730" s="31"/>
      <c r="G730" s="31"/>
      <c r="H730" s="31"/>
      <c r="I730" s="31"/>
      <c r="J730" s="3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31"/>
      <c r="E731" s="31"/>
      <c r="F731" s="31"/>
      <c r="G731" s="31"/>
      <c r="H731" s="31"/>
      <c r="I731" s="31"/>
      <c r="J731" s="3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31"/>
      <c r="E732" s="31"/>
      <c r="F732" s="31"/>
      <c r="G732" s="31"/>
      <c r="H732" s="31"/>
      <c r="I732" s="31"/>
      <c r="J732" s="3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31"/>
      <c r="E733" s="31"/>
      <c r="F733" s="31"/>
      <c r="G733" s="31"/>
      <c r="H733" s="31"/>
      <c r="I733" s="31"/>
      <c r="J733" s="3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31"/>
      <c r="E734" s="31"/>
      <c r="F734" s="31"/>
      <c r="G734" s="31"/>
      <c r="H734" s="31"/>
      <c r="I734" s="31"/>
      <c r="J734" s="3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31"/>
      <c r="E735" s="31"/>
      <c r="F735" s="31"/>
      <c r="G735" s="31"/>
      <c r="H735" s="31"/>
      <c r="I735" s="31"/>
      <c r="J735" s="3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31"/>
      <c r="E736" s="31"/>
      <c r="F736" s="31"/>
      <c r="G736" s="31"/>
      <c r="H736" s="31"/>
      <c r="I736" s="31"/>
      <c r="J736" s="3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31"/>
      <c r="E737" s="31"/>
      <c r="F737" s="31"/>
      <c r="G737" s="31"/>
      <c r="H737" s="31"/>
      <c r="I737" s="31"/>
      <c r="J737" s="3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31"/>
      <c r="E738" s="31"/>
      <c r="F738" s="31"/>
      <c r="G738" s="31"/>
      <c r="H738" s="31"/>
      <c r="I738" s="31"/>
      <c r="J738" s="3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31"/>
      <c r="E739" s="31"/>
      <c r="F739" s="31"/>
      <c r="G739" s="31"/>
      <c r="H739" s="31"/>
      <c r="I739" s="31"/>
      <c r="J739" s="3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31"/>
      <c r="E740" s="31"/>
      <c r="F740" s="31"/>
      <c r="G740" s="31"/>
      <c r="H740" s="31"/>
      <c r="I740" s="31"/>
      <c r="J740" s="3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31"/>
      <c r="E741" s="31"/>
      <c r="F741" s="31"/>
      <c r="G741" s="31"/>
      <c r="H741" s="31"/>
      <c r="I741" s="31"/>
      <c r="J741" s="3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31"/>
      <c r="E742" s="31"/>
      <c r="F742" s="31"/>
      <c r="G742" s="31"/>
      <c r="H742" s="31"/>
      <c r="I742" s="31"/>
      <c r="J742" s="3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31"/>
      <c r="E743" s="31"/>
      <c r="F743" s="31"/>
      <c r="G743" s="31"/>
      <c r="H743" s="31"/>
      <c r="I743" s="31"/>
      <c r="J743" s="3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31"/>
      <c r="E744" s="31"/>
      <c r="F744" s="31"/>
      <c r="G744" s="31"/>
      <c r="H744" s="31"/>
      <c r="I744" s="31"/>
      <c r="J744" s="3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31"/>
      <c r="E745" s="31"/>
      <c r="F745" s="31"/>
      <c r="G745" s="31"/>
      <c r="H745" s="31"/>
      <c r="I745" s="31"/>
      <c r="J745" s="3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31"/>
      <c r="E746" s="31"/>
      <c r="F746" s="31"/>
      <c r="G746" s="31"/>
      <c r="H746" s="31"/>
      <c r="I746" s="31"/>
      <c r="J746" s="3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31"/>
      <c r="E747" s="31"/>
      <c r="F747" s="31"/>
      <c r="G747" s="31"/>
      <c r="H747" s="31"/>
      <c r="I747" s="31"/>
      <c r="J747" s="3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31"/>
      <c r="E748" s="31"/>
      <c r="F748" s="31"/>
      <c r="G748" s="31"/>
      <c r="H748" s="31"/>
      <c r="I748" s="31"/>
      <c r="J748" s="3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31"/>
      <c r="E749" s="31"/>
      <c r="F749" s="31"/>
      <c r="G749" s="31"/>
      <c r="H749" s="31"/>
      <c r="I749" s="31"/>
      <c r="J749" s="3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31"/>
      <c r="E750" s="31"/>
      <c r="F750" s="31"/>
      <c r="G750" s="31"/>
      <c r="H750" s="31"/>
      <c r="I750" s="31"/>
      <c r="J750" s="3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31"/>
      <c r="E751" s="31"/>
      <c r="F751" s="31"/>
      <c r="G751" s="31"/>
      <c r="H751" s="31"/>
      <c r="I751" s="31"/>
      <c r="J751" s="3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31"/>
      <c r="E752" s="31"/>
      <c r="F752" s="31"/>
      <c r="G752" s="31"/>
      <c r="H752" s="31"/>
      <c r="I752" s="31"/>
      <c r="J752" s="3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31"/>
      <c r="E753" s="31"/>
      <c r="F753" s="31"/>
      <c r="G753" s="31"/>
      <c r="H753" s="31"/>
      <c r="I753" s="31"/>
      <c r="J753" s="3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31"/>
      <c r="E754" s="31"/>
      <c r="F754" s="31"/>
      <c r="G754" s="31"/>
      <c r="H754" s="31"/>
      <c r="I754" s="31"/>
      <c r="J754" s="3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31"/>
      <c r="E755" s="31"/>
      <c r="F755" s="31"/>
      <c r="G755" s="31"/>
      <c r="H755" s="31"/>
      <c r="I755" s="31"/>
      <c r="J755" s="3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31"/>
      <c r="E756" s="31"/>
      <c r="F756" s="31"/>
      <c r="G756" s="31"/>
      <c r="H756" s="31"/>
      <c r="I756" s="31"/>
      <c r="J756" s="3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31"/>
      <c r="E757" s="31"/>
      <c r="F757" s="31"/>
      <c r="G757" s="31"/>
      <c r="H757" s="31"/>
      <c r="I757" s="31"/>
      <c r="J757" s="3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31"/>
      <c r="E758" s="31"/>
      <c r="F758" s="31"/>
      <c r="G758" s="31"/>
      <c r="H758" s="31"/>
      <c r="I758" s="31"/>
      <c r="J758" s="3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31"/>
      <c r="E759" s="31"/>
      <c r="F759" s="31"/>
      <c r="G759" s="31"/>
      <c r="H759" s="31"/>
      <c r="I759" s="31"/>
      <c r="J759" s="3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31"/>
      <c r="E760" s="31"/>
      <c r="F760" s="31"/>
      <c r="G760" s="31"/>
      <c r="H760" s="31"/>
      <c r="I760" s="31"/>
      <c r="J760" s="3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31"/>
      <c r="E761" s="31"/>
      <c r="F761" s="31"/>
      <c r="G761" s="31"/>
      <c r="H761" s="31"/>
      <c r="I761" s="31"/>
      <c r="J761" s="3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31"/>
      <c r="E762" s="31"/>
      <c r="F762" s="31"/>
      <c r="G762" s="31"/>
      <c r="H762" s="31"/>
      <c r="I762" s="31"/>
      <c r="J762" s="3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31"/>
      <c r="E763" s="31"/>
      <c r="F763" s="31"/>
      <c r="G763" s="31"/>
      <c r="H763" s="31"/>
      <c r="I763" s="31"/>
      <c r="J763" s="3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31"/>
      <c r="E764" s="31"/>
      <c r="F764" s="31"/>
      <c r="G764" s="31"/>
      <c r="H764" s="31"/>
      <c r="I764" s="31"/>
      <c r="J764" s="3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31"/>
      <c r="E765" s="31"/>
      <c r="F765" s="31"/>
      <c r="G765" s="31"/>
      <c r="H765" s="31"/>
      <c r="I765" s="31"/>
      <c r="J765" s="3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31"/>
      <c r="E766" s="31"/>
      <c r="F766" s="31"/>
      <c r="G766" s="31"/>
      <c r="H766" s="31"/>
      <c r="I766" s="31"/>
      <c r="J766" s="3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31"/>
      <c r="E767" s="31"/>
      <c r="F767" s="31"/>
      <c r="G767" s="31"/>
      <c r="H767" s="31"/>
      <c r="I767" s="31"/>
      <c r="J767" s="3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31"/>
      <c r="E768" s="31"/>
      <c r="F768" s="31"/>
      <c r="G768" s="31"/>
      <c r="H768" s="31"/>
      <c r="I768" s="31"/>
      <c r="J768" s="3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31"/>
      <c r="E769" s="31"/>
      <c r="F769" s="31"/>
      <c r="G769" s="31"/>
      <c r="H769" s="31"/>
      <c r="I769" s="31"/>
      <c r="J769" s="3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31"/>
      <c r="E770" s="31"/>
      <c r="F770" s="31"/>
      <c r="G770" s="31"/>
      <c r="H770" s="31"/>
      <c r="I770" s="31"/>
      <c r="J770" s="3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31"/>
      <c r="E771" s="31"/>
      <c r="F771" s="31"/>
      <c r="G771" s="31"/>
      <c r="H771" s="31"/>
      <c r="I771" s="31"/>
      <c r="J771" s="3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31"/>
      <c r="E772" s="31"/>
      <c r="F772" s="31"/>
      <c r="G772" s="31"/>
      <c r="H772" s="31"/>
      <c r="I772" s="31"/>
      <c r="J772" s="3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31"/>
      <c r="E773" s="31"/>
      <c r="F773" s="31"/>
      <c r="G773" s="31"/>
      <c r="H773" s="31"/>
      <c r="I773" s="31"/>
      <c r="J773" s="3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31"/>
      <c r="E774" s="31"/>
      <c r="F774" s="31"/>
      <c r="G774" s="31"/>
      <c r="H774" s="31"/>
      <c r="I774" s="31"/>
      <c r="J774" s="3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31"/>
      <c r="E775" s="31"/>
      <c r="F775" s="31"/>
      <c r="G775" s="31"/>
      <c r="H775" s="31"/>
      <c r="I775" s="31"/>
      <c r="J775" s="3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31"/>
      <c r="E776" s="31"/>
      <c r="F776" s="31"/>
      <c r="G776" s="31"/>
      <c r="H776" s="31"/>
      <c r="I776" s="31"/>
      <c r="J776" s="3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31"/>
      <c r="E777" s="31"/>
      <c r="F777" s="31"/>
      <c r="G777" s="31"/>
      <c r="H777" s="31"/>
      <c r="I777" s="31"/>
      <c r="J777" s="3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31"/>
      <c r="E778" s="31"/>
      <c r="F778" s="31"/>
      <c r="G778" s="31"/>
      <c r="H778" s="31"/>
      <c r="I778" s="31"/>
      <c r="J778" s="3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31"/>
      <c r="E779" s="31"/>
      <c r="F779" s="31"/>
      <c r="G779" s="31"/>
      <c r="H779" s="31"/>
      <c r="I779" s="31"/>
      <c r="J779" s="3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31"/>
      <c r="E780" s="31"/>
      <c r="F780" s="31"/>
      <c r="G780" s="31"/>
      <c r="H780" s="31"/>
      <c r="I780" s="31"/>
      <c r="J780" s="3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31"/>
      <c r="E781" s="31"/>
      <c r="F781" s="31"/>
      <c r="G781" s="31"/>
      <c r="H781" s="31"/>
      <c r="I781" s="31"/>
      <c r="J781" s="3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31"/>
      <c r="E782" s="31"/>
      <c r="F782" s="31"/>
      <c r="G782" s="31"/>
      <c r="H782" s="31"/>
      <c r="I782" s="31"/>
      <c r="J782" s="3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31"/>
      <c r="E783" s="31"/>
      <c r="F783" s="31"/>
      <c r="G783" s="31"/>
      <c r="H783" s="31"/>
      <c r="I783" s="31"/>
      <c r="J783" s="3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31"/>
      <c r="E784" s="31"/>
      <c r="F784" s="31"/>
      <c r="G784" s="31"/>
      <c r="H784" s="31"/>
      <c r="I784" s="31"/>
      <c r="J784" s="3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31"/>
      <c r="E785" s="31"/>
      <c r="F785" s="31"/>
      <c r="G785" s="31"/>
      <c r="H785" s="31"/>
      <c r="I785" s="31"/>
      <c r="J785" s="3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31"/>
      <c r="E786" s="31"/>
      <c r="F786" s="31"/>
      <c r="G786" s="31"/>
      <c r="H786" s="31"/>
      <c r="I786" s="31"/>
      <c r="J786" s="3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31"/>
      <c r="E787" s="31"/>
      <c r="F787" s="31"/>
      <c r="G787" s="31"/>
      <c r="H787" s="31"/>
      <c r="I787" s="31"/>
      <c r="J787" s="3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31"/>
      <c r="E788" s="31"/>
      <c r="F788" s="31"/>
      <c r="G788" s="31"/>
      <c r="H788" s="31"/>
      <c r="I788" s="31"/>
      <c r="J788" s="3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31"/>
      <c r="E789" s="31"/>
      <c r="F789" s="31"/>
      <c r="G789" s="31"/>
      <c r="H789" s="31"/>
      <c r="I789" s="31"/>
      <c r="J789" s="3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31"/>
      <c r="E790" s="31"/>
      <c r="F790" s="31"/>
      <c r="G790" s="31"/>
      <c r="H790" s="31"/>
      <c r="I790" s="31"/>
      <c r="J790" s="3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31"/>
      <c r="E791" s="31"/>
      <c r="F791" s="31"/>
      <c r="G791" s="31"/>
      <c r="H791" s="31"/>
      <c r="I791" s="31"/>
      <c r="J791" s="3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31"/>
      <c r="E792" s="31"/>
      <c r="F792" s="31"/>
      <c r="G792" s="31"/>
      <c r="H792" s="31"/>
      <c r="I792" s="31"/>
      <c r="J792" s="3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31"/>
      <c r="E793" s="31"/>
      <c r="F793" s="31"/>
      <c r="G793" s="31"/>
      <c r="H793" s="31"/>
      <c r="I793" s="31"/>
      <c r="J793" s="3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31"/>
      <c r="E794" s="31"/>
      <c r="F794" s="31"/>
      <c r="G794" s="31"/>
      <c r="H794" s="31"/>
      <c r="I794" s="31"/>
      <c r="J794" s="3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31"/>
      <c r="E795" s="31"/>
      <c r="F795" s="31"/>
      <c r="G795" s="31"/>
      <c r="H795" s="31"/>
      <c r="I795" s="31"/>
      <c r="J795" s="3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31"/>
      <c r="E796" s="31"/>
      <c r="F796" s="31"/>
      <c r="G796" s="31"/>
      <c r="H796" s="31"/>
      <c r="I796" s="31"/>
      <c r="J796" s="3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31"/>
      <c r="E797" s="31"/>
      <c r="F797" s="31"/>
      <c r="G797" s="31"/>
      <c r="H797" s="31"/>
      <c r="I797" s="31"/>
      <c r="J797" s="3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31"/>
      <c r="E798" s="31"/>
      <c r="F798" s="31"/>
      <c r="G798" s="31"/>
      <c r="H798" s="31"/>
      <c r="I798" s="31"/>
      <c r="J798" s="3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31"/>
      <c r="E799" s="31"/>
      <c r="F799" s="31"/>
      <c r="G799" s="31"/>
      <c r="H799" s="31"/>
      <c r="I799" s="31"/>
      <c r="J799" s="3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31"/>
      <c r="E800" s="31"/>
      <c r="F800" s="31"/>
      <c r="G800" s="31"/>
      <c r="H800" s="31"/>
      <c r="I800" s="31"/>
      <c r="J800" s="3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31"/>
      <c r="E801" s="31"/>
      <c r="F801" s="31"/>
      <c r="G801" s="31"/>
      <c r="H801" s="31"/>
      <c r="I801" s="31"/>
      <c r="J801" s="3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31"/>
      <c r="E802" s="31"/>
      <c r="F802" s="31"/>
      <c r="G802" s="31"/>
      <c r="H802" s="31"/>
      <c r="I802" s="31"/>
      <c r="J802" s="3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31"/>
      <c r="E803" s="31"/>
      <c r="F803" s="31"/>
      <c r="G803" s="31"/>
      <c r="H803" s="31"/>
      <c r="I803" s="31"/>
      <c r="J803" s="3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31"/>
      <c r="E804" s="31"/>
      <c r="F804" s="31"/>
      <c r="G804" s="31"/>
      <c r="H804" s="31"/>
      <c r="I804" s="31"/>
      <c r="J804" s="3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31"/>
      <c r="E805" s="31"/>
      <c r="F805" s="31"/>
      <c r="G805" s="31"/>
      <c r="H805" s="31"/>
      <c r="I805" s="31"/>
      <c r="J805" s="3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31"/>
      <c r="E806" s="31"/>
      <c r="F806" s="31"/>
      <c r="G806" s="31"/>
      <c r="H806" s="31"/>
      <c r="I806" s="31"/>
      <c r="J806" s="3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31"/>
      <c r="E807" s="31"/>
      <c r="F807" s="31"/>
      <c r="G807" s="31"/>
      <c r="H807" s="31"/>
      <c r="I807" s="31"/>
      <c r="J807" s="3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31"/>
      <c r="E808" s="31"/>
      <c r="F808" s="31"/>
      <c r="G808" s="31"/>
      <c r="H808" s="31"/>
      <c r="I808" s="31"/>
      <c r="J808" s="3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31"/>
      <c r="E809" s="31"/>
      <c r="F809" s="31"/>
      <c r="G809" s="31"/>
      <c r="H809" s="31"/>
      <c r="I809" s="31"/>
      <c r="J809" s="3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31"/>
      <c r="E810" s="31"/>
      <c r="F810" s="31"/>
      <c r="G810" s="31"/>
      <c r="H810" s="31"/>
      <c r="I810" s="31"/>
      <c r="J810" s="3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31"/>
      <c r="E811" s="31"/>
      <c r="F811" s="31"/>
      <c r="G811" s="31"/>
      <c r="H811" s="31"/>
      <c r="I811" s="31"/>
      <c r="J811" s="3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31"/>
      <c r="E812" s="31"/>
      <c r="F812" s="31"/>
      <c r="G812" s="31"/>
      <c r="H812" s="31"/>
      <c r="I812" s="31"/>
      <c r="J812" s="3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31"/>
      <c r="E813" s="31"/>
      <c r="F813" s="31"/>
      <c r="G813" s="31"/>
      <c r="H813" s="31"/>
      <c r="I813" s="31"/>
      <c r="J813" s="3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31"/>
      <c r="E814" s="31"/>
      <c r="F814" s="31"/>
      <c r="G814" s="31"/>
      <c r="H814" s="31"/>
      <c r="I814" s="31"/>
      <c r="J814" s="3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31"/>
      <c r="E815" s="31"/>
      <c r="F815" s="31"/>
      <c r="G815" s="31"/>
      <c r="H815" s="31"/>
      <c r="I815" s="31"/>
      <c r="J815" s="3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31"/>
      <c r="E816" s="31"/>
      <c r="F816" s="31"/>
      <c r="G816" s="31"/>
      <c r="H816" s="31"/>
      <c r="I816" s="31"/>
      <c r="J816" s="3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31"/>
      <c r="E817" s="31"/>
      <c r="F817" s="31"/>
      <c r="G817" s="31"/>
      <c r="H817" s="31"/>
      <c r="I817" s="31"/>
      <c r="J817" s="3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31"/>
      <c r="E818" s="31"/>
      <c r="F818" s="31"/>
      <c r="G818" s="31"/>
      <c r="H818" s="31"/>
      <c r="I818" s="31"/>
      <c r="J818" s="3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31"/>
      <c r="E819" s="31"/>
      <c r="F819" s="31"/>
      <c r="G819" s="31"/>
      <c r="H819" s="31"/>
      <c r="I819" s="31"/>
      <c r="J819" s="3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31"/>
      <c r="E820" s="31"/>
      <c r="F820" s="31"/>
      <c r="G820" s="31"/>
      <c r="H820" s="31"/>
      <c r="I820" s="31"/>
      <c r="J820" s="3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31"/>
      <c r="E821" s="31"/>
      <c r="F821" s="31"/>
      <c r="G821" s="31"/>
      <c r="H821" s="31"/>
      <c r="I821" s="31"/>
      <c r="J821" s="3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31"/>
      <c r="E822" s="31"/>
      <c r="F822" s="31"/>
      <c r="G822" s="31"/>
      <c r="H822" s="31"/>
      <c r="I822" s="31"/>
      <c r="J822" s="3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31"/>
      <c r="E823" s="31"/>
      <c r="F823" s="31"/>
      <c r="G823" s="31"/>
      <c r="H823" s="31"/>
      <c r="I823" s="31"/>
      <c r="J823" s="3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31"/>
      <c r="E824" s="31"/>
      <c r="F824" s="31"/>
      <c r="G824" s="31"/>
      <c r="H824" s="31"/>
      <c r="I824" s="31"/>
      <c r="J824" s="3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31"/>
      <c r="E825" s="31"/>
      <c r="F825" s="31"/>
      <c r="G825" s="31"/>
      <c r="H825" s="31"/>
      <c r="I825" s="31"/>
      <c r="J825" s="3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31"/>
      <c r="E826" s="31"/>
      <c r="F826" s="31"/>
      <c r="G826" s="31"/>
      <c r="H826" s="31"/>
      <c r="I826" s="31"/>
      <c r="J826" s="3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31"/>
      <c r="E827" s="31"/>
      <c r="F827" s="31"/>
      <c r="G827" s="31"/>
      <c r="H827" s="31"/>
      <c r="I827" s="31"/>
      <c r="J827" s="3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31"/>
      <c r="E828" s="31"/>
      <c r="F828" s="31"/>
      <c r="G828" s="31"/>
      <c r="H828" s="31"/>
      <c r="I828" s="31"/>
      <c r="J828" s="3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31"/>
      <c r="E829" s="31"/>
      <c r="F829" s="31"/>
      <c r="G829" s="31"/>
      <c r="H829" s="31"/>
      <c r="I829" s="31"/>
      <c r="J829" s="3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31"/>
      <c r="E830" s="31"/>
      <c r="F830" s="31"/>
      <c r="G830" s="31"/>
      <c r="H830" s="31"/>
      <c r="I830" s="31"/>
      <c r="J830" s="3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31"/>
      <c r="E831" s="31"/>
      <c r="F831" s="31"/>
      <c r="G831" s="31"/>
      <c r="H831" s="31"/>
      <c r="I831" s="31"/>
      <c r="J831" s="3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31"/>
      <c r="E832" s="31"/>
      <c r="F832" s="31"/>
      <c r="G832" s="31"/>
      <c r="H832" s="31"/>
      <c r="I832" s="31"/>
      <c r="J832" s="3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31"/>
      <c r="E833" s="31"/>
      <c r="F833" s="31"/>
      <c r="G833" s="31"/>
      <c r="H833" s="31"/>
      <c r="I833" s="31"/>
      <c r="J833" s="3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31"/>
      <c r="E834" s="31"/>
      <c r="F834" s="31"/>
      <c r="G834" s="31"/>
      <c r="H834" s="31"/>
      <c r="I834" s="31"/>
      <c r="J834" s="3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31"/>
      <c r="E835" s="31"/>
      <c r="F835" s="31"/>
      <c r="G835" s="31"/>
      <c r="H835" s="31"/>
      <c r="I835" s="31"/>
      <c r="J835" s="3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31"/>
      <c r="E836" s="31"/>
      <c r="F836" s="31"/>
      <c r="G836" s="31"/>
      <c r="H836" s="31"/>
      <c r="I836" s="31"/>
      <c r="J836" s="3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31"/>
      <c r="E837" s="31"/>
      <c r="F837" s="31"/>
      <c r="G837" s="31"/>
      <c r="H837" s="31"/>
      <c r="I837" s="31"/>
      <c r="J837" s="3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31"/>
      <c r="E838" s="31"/>
      <c r="F838" s="31"/>
      <c r="G838" s="31"/>
      <c r="H838" s="31"/>
      <c r="I838" s="31"/>
      <c r="J838" s="3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31"/>
      <c r="E839" s="31"/>
      <c r="F839" s="31"/>
      <c r="G839" s="31"/>
      <c r="H839" s="31"/>
      <c r="I839" s="31"/>
      <c r="J839" s="3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31"/>
      <c r="E840" s="31"/>
      <c r="F840" s="31"/>
      <c r="G840" s="31"/>
      <c r="H840" s="31"/>
      <c r="I840" s="31"/>
      <c r="J840" s="3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31"/>
      <c r="E841" s="31"/>
      <c r="F841" s="31"/>
      <c r="G841" s="31"/>
      <c r="H841" s="31"/>
      <c r="I841" s="31"/>
      <c r="J841" s="3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31"/>
      <c r="E842" s="31"/>
      <c r="F842" s="31"/>
      <c r="G842" s="31"/>
      <c r="H842" s="31"/>
      <c r="I842" s="31"/>
      <c r="J842" s="3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31"/>
      <c r="E843" s="31"/>
      <c r="F843" s="31"/>
      <c r="G843" s="31"/>
      <c r="H843" s="31"/>
      <c r="I843" s="31"/>
      <c r="J843" s="3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31"/>
      <c r="E844" s="31"/>
      <c r="F844" s="31"/>
      <c r="G844" s="31"/>
      <c r="H844" s="31"/>
      <c r="I844" s="31"/>
      <c r="J844" s="3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31"/>
      <c r="E845" s="31"/>
      <c r="F845" s="31"/>
      <c r="G845" s="31"/>
      <c r="H845" s="31"/>
      <c r="I845" s="31"/>
      <c r="J845" s="3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31"/>
      <c r="E846" s="31"/>
      <c r="F846" s="31"/>
      <c r="G846" s="31"/>
      <c r="H846" s="31"/>
      <c r="I846" s="31"/>
      <c r="J846" s="3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31"/>
      <c r="E847" s="31"/>
      <c r="F847" s="31"/>
      <c r="G847" s="31"/>
      <c r="H847" s="31"/>
      <c r="I847" s="31"/>
      <c r="J847" s="3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31"/>
      <c r="E848" s="31"/>
      <c r="F848" s="31"/>
      <c r="G848" s="31"/>
      <c r="H848" s="31"/>
      <c r="I848" s="31"/>
      <c r="J848" s="3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31"/>
      <c r="E849" s="31"/>
      <c r="F849" s="31"/>
      <c r="G849" s="31"/>
      <c r="H849" s="31"/>
      <c r="I849" s="31"/>
      <c r="J849" s="3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31"/>
      <c r="E850" s="31"/>
      <c r="F850" s="31"/>
      <c r="G850" s="31"/>
      <c r="H850" s="31"/>
      <c r="I850" s="31"/>
      <c r="J850" s="3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31"/>
      <c r="E851" s="31"/>
      <c r="F851" s="31"/>
      <c r="G851" s="31"/>
      <c r="H851" s="31"/>
      <c r="I851" s="31"/>
      <c r="J851" s="3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31"/>
      <c r="E852" s="31"/>
      <c r="F852" s="31"/>
      <c r="G852" s="31"/>
      <c r="H852" s="31"/>
      <c r="I852" s="31"/>
      <c r="J852" s="3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31"/>
      <c r="E853" s="31"/>
      <c r="F853" s="31"/>
      <c r="G853" s="31"/>
      <c r="H853" s="31"/>
      <c r="I853" s="31"/>
      <c r="J853" s="3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31"/>
      <c r="E854" s="31"/>
      <c r="F854" s="31"/>
      <c r="G854" s="31"/>
      <c r="H854" s="31"/>
      <c r="I854" s="31"/>
      <c r="J854" s="3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31"/>
      <c r="E855" s="31"/>
      <c r="F855" s="31"/>
      <c r="G855" s="31"/>
      <c r="H855" s="31"/>
      <c r="I855" s="31"/>
      <c r="J855" s="3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31"/>
      <c r="E856" s="31"/>
      <c r="F856" s="31"/>
      <c r="G856" s="31"/>
      <c r="H856" s="31"/>
      <c r="I856" s="31"/>
      <c r="J856" s="3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31"/>
      <c r="E857" s="31"/>
      <c r="F857" s="31"/>
      <c r="G857" s="31"/>
      <c r="H857" s="31"/>
      <c r="I857" s="31"/>
      <c r="J857" s="3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31"/>
      <c r="E858" s="31"/>
      <c r="F858" s="31"/>
      <c r="G858" s="31"/>
      <c r="H858" s="31"/>
      <c r="I858" s="31"/>
      <c r="J858" s="3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31"/>
      <c r="E859" s="31"/>
      <c r="F859" s="31"/>
      <c r="G859" s="31"/>
      <c r="H859" s="31"/>
      <c r="I859" s="31"/>
      <c r="J859" s="3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31"/>
      <c r="E860" s="31"/>
      <c r="F860" s="31"/>
      <c r="G860" s="31"/>
      <c r="H860" s="31"/>
      <c r="I860" s="31"/>
      <c r="J860" s="3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31"/>
      <c r="E861" s="31"/>
      <c r="F861" s="31"/>
      <c r="G861" s="31"/>
      <c r="H861" s="31"/>
      <c r="I861" s="31"/>
      <c r="J861" s="3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31"/>
      <c r="E862" s="31"/>
      <c r="F862" s="31"/>
      <c r="G862" s="31"/>
      <c r="H862" s="31"/>
      <c r="I862" s="31"/>
      <c r="J862" s="3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31"/>
      <c r="E863" s="31"/>
      <c r="F863" s="31"/>
      <c r="G863" s="31"/>
      <c r="H863" s="31"/>
      <c r="I863" s="31"/>
      <c r="J863" s="3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31"/>
      <c r="E864" s="31"/>
      <c r="F864" s="31"/>
      <c r="G864" s="31"/>
      <c r="H864" s="31"/>
      <c r="I864" s="31"/>
      <c r="J864" s="3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31"/>
      <c r="E865" s="31"/>
      <c r="F865" s="31"/>
      <c r="G865" s="31"/>
      <c r="H865" s="31"/>
      <c r="I865" s="31"/>
      <c r="J865" s="3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31"/>
      <c r="E866" s="31"/>
      <c r="F866" s="31"/>
      <c r="G866" s="31"/>
      <c r="H866" s="31"/>
      <c r="I866" s="31"/>
      <c r="J866" s="3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31"/>
      <c r="E867" s="31"/>
      <c r="F867" s="31"/>
      <c r="G867" s="31"/>
      <c r="H867" s="31"/>
      <c r="I867" s="31"/>
      <c r="J867" s="3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31"/>
      <c r="E868" s="31"/>
      <c r="F868" s="31"/>
      <c r="G868" s="31"/>
      <c r="H868" s="31"/>
      <c r="I868" s="31"/>
      <c r="J868" s="3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31"/>
      <c r="E869" s="31"/>
      <c r="F869" s="31"/>
      <c r="G869" s="31"/>
      <c r="H869" s="31"/>
      <c r="I869" s="31"/>
      <c r="J869" s="3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31"/>
      <c r="E870" s="31"/>
      <c r="F870" s="31"/>
      <c r="G870" s="31"/>
      <c r="H870" s="31"/>
      <c r="I870" s="31"/>
      <c r="J870" s="3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31"/>
      <c r="E871" s="31"/>
      <c r="F871" s="31"/>
      <c r="G871" s="31"/>
      <c r="H871" s="31"/>
      <c r="I871" s="31"/>
      <c r="J871" s="3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31"/>
      <c r="E872" s="31"/>
      <c r="F872" s="31"/>
      <c r="G872" s="31"/>
      <c r="H872" s="31"/>
      <c r="I872" s="31"/>
      <c r="J872" s="3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31"/>
      <c r="E873" s="31"/>
      <c r="F873" s="31"/>
      <c r="G873" s="31"/>
      <c r="H873" s="31"/>
      <c r="I873" s="31"/>
      <c r="J873" s="3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31"/>
      <c r="E874" s="31"/>
      <c r="F874" s="31"/>
      <c r="G874" s="31"/>
      <c r="H874" s="31"/>
      <c r="I874" s="31"/>
      <c r="J874" s="3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31"/>
      <c r="E875" s="31"/>
      <c r="F875" s="31"/>
      <c r="G875" s="31"/>
      <c r="H875" s="31"/>
      <c r="I875" s="31"/>
      <c r="J875" s="3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31"/>
      <c r="E876" s="31"/>
      <c r="F876" s="31"/>
      <c r="G876" s="31"/>
      <c r="H876" s="31"/>
      <c r="I876" s="31"/>
      <c r="J876" s="3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31"/>
      <c r="E877" s="31"/>
      <c r="F877" s="31"/>
      <c r="G877" s="31"/>
      <c r="H877" s="31"/>
      <c r="I877" s="31"/>
      <c r="J877" s="3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31"/>
      <c r="E878" s="31"/>
      <c r="F878" s="31"/>
      <c r="G878" s="31"/>
      <c r="H878" s="31"/>
      <c r="I878" s="31"/>
      <c r="J878" s="3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31"/>
      <c r="E879" s="31"/>
      <c r="F879" s="31"/>
      <c r="G879" s="31"/>
      <c r="H879" s="31"/>
      <c r="I879" s="31"/>
      <c r="J879" s="3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31"/>
      <c r="E880" s="31"/>
      <c r="F880" s="31"/>
      <c r="G880" s="31"/>
      <c r="H880" s="31"/>
      <c r="I880" s="31"/>
      <c r="J880" s="3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31"/>
      <c r="E881" s="31"/>
      <c r="F881" s="31"/>
      <c r="G881" s="31"/>
      <c r="H881" s="31"/>
      <c r="I881" s="31"/>
      <c r="J881" s="3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31"/>
      <c r="E882" s="31"/>
      <c r="F882" s="31"/>
      <c r="G882" s="31"/>
      <c r="H882" s="31"/>
      <c r="I882" s="31"/>
      <c r="J882" s="3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31"/>
      <c r="E883" s="31"/>
      <c r="F883" s="31"/>
      <c r="G883" s="31"/>
      <c r="H883" s="31"/>
      <c r="I883" s="31"/>
      <c r="J883" s="3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31"/>
      <c r="E884" s="31"/>
      <c r="F884" s="31"/>
      <c r="G884" s="31"/>
      <c r="H884" s="31"/>
      <c r="I884" s="31"/>
      <c r="J884" s="3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31"/>
      <c r="E885" s="31"/>
      <c r="F885" s="31"/>
      <c r="G885" s="31"/>
      <c r="H885" s="31"/>
      <c r="I885" s="31"/>
      <c r="J885" s="3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31"/>
      <c r="E886" s="31"/>
      <c r="F886" s="31"/>
      <c r="G886" s="31"/>
      <c r="H886" s="31"/>
      <c r="I886" s="31"/>
      <c r="J886" s="3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31"/>
      <c r="E887" s="31"/>
      <c r="F887" s="31"/>
      <c r="G887" s="31"/>
      <c r="H887" s="31"/>
      <c r="I887" s="31"/>
      <c r="J887" s="3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31"/>
      <c r="E888" s="31"/>
      <c r="F888" s="31"/>
      <c r="G888" s="31"/>
      <c r="H888" s="31"/>
      <c r="I888" s="31"/>
      <c r="J888" s="3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31"/>
      <c r="E889" s="31"/>
      <c r="F889" s="31"/>
      <c r="G889" s="31"/>
      <c r="H889" s="31"/>
      <c r="I889" s="31"/>
      <c r="J889" s="3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31"/>
      <c r="E890" s="31"/>
      <c r="F890" s="31"/>
      <c r="G890" s="31"/>
      <c r="H890" s="31"/>
      <c r="I890" s="31"/>
      <c r="J890" s="3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31"/>
      <c r="E891" s="31"/>
      <c r="F891" s="31"/>
      <c r="G891" s="31"/>
      <c r="H891" s="31"/>
      <c r="I891" s="31"/>
      <c r="J891" s="3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31"/>
      <c r="E892" s="31"/>
      <c r="F892" s="31"/>
      <c r="G892" s="31"/>
      <c r="H892" s="31"/>
      <c r="I892" s="31"/>
      <c r="J892" s="3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31"/>
      <c r="E893" s="31"/>
      <c r="F893" s="31"/>
      <c r="G893" s="31"/>
      <c r="H893" s="31"/>
      <c r="I893" s="31"/>
      <c r="J893" s="3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31"/>
      <c r="E894" s="31"/>
      <c r="F894" s="31"/>
      <c r="G894" s="31"/>
      <c r="H894" s="31"/>
      <c r="I894" s="31"/>
      <c r="J894" s="3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31"/>
      <c r="E895" s="31"/>
      <c r="F895" s="31"/>
      <c r="G895" s="31"/>
      <c r="H895" s="31"/>
      <c r="I895" s="31"/>
      <c r="J895" s="3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31"/>
      <c r="E896" s="31"/>
      <c r="F896" s="31"/>
      <c r="G896" s="31"/>
      <c r="H896" s="31"/>
      <c r="I896" s="31"/>
      <c r="J896" s="3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31"/>
      <c r="E897" s="31"/>
      <c r="F897" s="31"/>
      <c r="G897" s="31"/>
      <c r="H897" s="31"/>
      <c r="I897" s="31"/>
      <c r="J897" s="3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31"/>
      <c r="E898" s="31"/>
      <c r="F898" s="31"/>
      <c r="G898" s="31"/>
      <c r="H898" s="31"/>
      <c r="I898" s="31"/>
      <c r="J898" s="3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31"/>
      <c r="E899" s="31"/>
      <c r="F899" s="31"/>
      <c r="G899" s="31"/>
      <c r="H899" s="31"/>
      <c r="I899" s="31"/>
      <c r="J899" s="3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31"/>
      <c r="E900" s="31"/>
      <c r="F900" s="31"/>
      <c r="G900" s="31"/>
      <c r="H900" s="31"/>
      <c r="I900" s="31"/>
      <c r="J900" s="3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31"/>
      <c r="E901" s="31"/>
      <c r="F901" s="31"/>
      <c r="G901" s="31"/>
      <c r="H901" s="31"/>
      <c r="I901" s="31"/>
      <c r="J901" s="3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31"/>
      <c r="E902" s="31"/>
      <c r="F902" s="31"/>
      <c r="G902" s="31"/>
      <c r="H902" s="31"/>
      <c r="I902" s="31"/>
      <c r="J902" s="3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31"/>
      <c r="E903" s="31"/>
      <c r="F903" s="31"/>
      <c r="G903" s="31"/>
      <c r="H903" s="31"/>
      <c r="I903" s="31"/>
      <c r="J903" s="3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31"/>
      <c r="E904" s="31"/>
      <c r="F904" s="31"/>
      <c r="G904" s="31"/>
      <c r="H904" s="31"/>
      <c r="I904" s="31"/>
      <c r="J904" s="3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31"/>
      <c r="E905" s="31"/>
      <c r="F905" s="31"/>
      <c r="G905" s="31"/>
      <c r="H905" s="31"/>
      <c r="I905" s="31"/>
      <c r="J905" s="3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31"/>
      <c r="E906" s="31"/>
      <c r="F906" s="31"/>
      <c r="G906" s="31"/>
      <c r="H906" s="31"/>
      <c r="I906" s="31"/>
      <c r="J906" s="3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31"/>
      <c r="E907" s="31"/>
      <c r="F907" s="31"/>
      <c r="G907" s="31"/>
      <c r="H907" s="31"/>
      <c r="I907" s="31"/>
      <c r="J907" s="3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31"/>
      <c r="E908" s="31"/>
      <c r="F908" s="31"/>
      <c r="G908" s="31"/>
      <c r="H908" s="31"/>
      <c r="I908" s="31"/>
      <c r="J908" s="3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31"/>
      <c r="E909" s="31"/>
      <c r="F909" s="31"/>
      <c r="G909" s="31"/>
      <c r="H909" s="31"/>
      <c r="I909" s="31"/>
      <c r="J909" s="3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31"/>
      <c r="E910" s="31"/>
      <c r="F910" s="31"/>
      <c r="G910" s="31"/>
      <c r="H910" s="31"/>
      <c r="I910" s="31"/>
      <c r="J910" s="3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31"/>
      <c r="E911" s="31"/>
      <c r="F911" s="31"/>
      <c r="G911" s="31"/>
      <c r="H911" s="31"/>
      <c r="I911" s="31"/>
      <c r="J911" s="3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31"/>
      <c r="E912" s="31"/>
      <c r="F912" s="31"/>
      <c r="G912" s="31"/>
      <c r="H912" s="31"/>
      <c r="I912" s="31"/>
      <c r="J912" s="3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31"/>
      <c r="E913" s="31"/>
      <c r="F913" s="31"/>
      <c r="G913" s="31"/>
      <c r="H913" s="31"/>
      <c r="I913" s="31"/>
      <c r="J913" s="3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31"/>
      <c r="E914" s="31"/>
      <c r="F914" s="31"/>
      <c r="G914" s="31"/>
      <c r="H914" s="31"/>
      <c r="I914" s="31"/>
      <c r="J914" s="3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31"/>
      <c r="E915" s="31"/>
      <c r="F915" s="31"/>
      <c r="G915" s="31"/>
      <c r="H915" s="31"/>
      <c r="I915" s="31"/>
      <c r="J915" s="3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31"/>
      <c r="E916" s="31"/>
      <c r="F916" s="31"/>
      <c r="G916" s="31"/>
      <c r="H916" s="31"/>
      <c r="I916" s="31"/>
      <c r="J916" s="3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31"/>
      <c r="E917" s="31"/>
      <c r="F917" s="31"/>
      <c r="G917" s="31"/>
      <c r="H917" s="31"/>
      <c r="I917" s="31"/>
      <c r="J917" s="3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31"/>
      <c r="E918" s="31"/>
      <c r="F918" s="31"/>
      <c r="G918" s="31"/>
      <c r="H918" s="31"/>
      <c r="I918" s="31"/>
      <c r="J918" s="3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31"/>
      <c r="E919" s="31"/>
      <c r="F919" s="31"/>
      <c r="G919" s="31"/>
      <c r="H919" s="31"/>
      <c r="I919" s="31"/>
      <c r="J919" s="3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31"/>
      <c r="E920" s="31"/>
      <c r="F920" s="31"/>
      <c r="G920" s="31"/>
      <c r="H920" s="31"/>
      <c r="I920" s="31"/>
      <c r="J920" s="3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31"/>
      <c r="E921" s="31"/>
      <c r="F921" s="31"/>
      <c r="G921" s="31"/>
      <c r="H921" s="31"/>
      <c r="I921" s="31"/>
      <c r="J921" s="3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31"/>
      <c r="E922" s="31"/>
      <c r="F922" s="31"/>
      <c r="G922" s="31"/>
      <c r="H922" s="31"/>
      <c r="I922" s="31"/>
      <c r="J922" s="3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31"/>
      <c r="E923" s="31"/>
      <c r="F923" s="31"/>
      <c r="G923" s="31"/>
      <c r="H923" s="31"/>
      <c r="I923" s="31"/>
      <c r="J923" s="3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31"/>
      <c r="E924" s="31"/>
      <c r="F924" s="31"/>
      <c r="G924" s="31"/>
      <c r="H924" s="31"/>
      <c r="I924" s="31"/>
      <c r="J924" s="3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31"/>
      <c r="E925" s="31"/>
      <c r="F925" s="31"/>
      <c r="G925" s="31"/>
      <c r="H925" s="31"/>
      <c r="I925" s="31"/>
      <c r="J925" s="3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31"/>
      <c r="E926" s="31"/>
      <c r="F926" s="31"/>
      <c r="G926" s="31"/>
      <c r="H926" s="31"/>
      <c r="I926" s="31"/>
      <c r="J926" s="3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31"/>
      <c r="E927" s="31"/>
      <c r="F927" s="31"/>
      <c r="G927" s="31"/>
      <c r="H927" s="31"/>
      <c r="I927" s="31"/>
      <c r="J927" s="3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31"/>
      <c r="E928" s="31"/>
      <c r="F928" s="31"/>
      <c r="G928" s="31"/>
      <c r="H928" s="31"/>
      <c r="I928" s="31"/>
      <c r="J928" s="3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31"/>
      <c r="E929" s="31"/>
      <c r="F929" s="31"/>
      <c r="G929" s="31"/>
      <c r="H929" s="31"/>
      <c r="I929" s="31"/>
      <c r="J929" s="3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31"/>
      <c r="E930" s="31"/>
      <c r="F930" s="31"/>
      <c r="G930" s="31"/>
      <c r="H930" s="31"/>
      <c r="I930" s="31"/>
      <c r="J930" s="3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31"/>
      <c r="E931" s="31"/>
      <c r="F931" s="31"/>
      <c r="G931" s="31"/>
      <c r="H931" s="31"/>
      <c r="I931" s="31"/>
      <c r="J931" s="3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31"/>
      <c r="E932" s="31"/>
      <c r="F932" s="31"/>
      <c r="G932" s="31"/>
      <c r="H932" s="31"/>
      <c r="I932" s="31"/>
      <c r="J932" s="3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31"/>
      <c r="E933" s="31"/>
      <c r="F933" s="31"/>
      <c r="G933" s="31"/>
      <c r="H933" s="31"/>
      <c r="I933" s="31"/>
      <c r="J933" s="3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31"/>
      <c r="E934" s="31"/>
      <c r="F934" s="31"/>
      <c r="G934" s="31"/>
      <c r="H934" s="31"/>
      <c r="I934" s="31"/>
      <c r="J934" s="3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31"/>
      <c r="E935" s="31"/>
      <c r="F935" s="31"/>
      <c r="G935" s="31"/>
      <c r="H935" s="31"/>
      <c r="I935" s="31"/>
      <c r="J935" s="3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31"/>
      <c r="E936" s="31"/>
      <c r="F936" s="31"/>
      <c r="G936" s="31"/>
      <c r="H936" s="31"/>
      <c r="I936" s="31"/>
      <c r="J936" s="3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31"/>
      <c r="E937" s="31"/>
      <c r="F937" s="31"/>
      <c r="G937" s="31"/>
      <c r="H937" s="31"/>
      <c r="I937" s="31"/>
      <c r="J937" s="3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31"/>
      <c r="E938" s="31"/>
      <c r="F938" s="31"/>
      <c r="G938" s="31"/>
      <c r="H938" s="31"/>
      <c r="I938" s="31"/>
      <c r="J938" s="3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31"/>
      <c r="E939" s="31"/>
      <c r="F939" s="31"/>
      <c r="G939" s="31"/>
      <c r="H939" s="31"/>
      <c r="I939" s="31"/>
      <c r="J939" s="3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31"/>
      <c r="E940" s="31"/>
      <c r="F940" s="31"/>
      <c r="G940" s="31"/>
      <c r="H940" s="31"/>
      <c r="I940" s="31"/>
      <c r="J940" s="3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31"/>
      <c r="E941" s="31"/>
      <c r="F941" s="31"/>
      <c r="G941" s="31"/>
      <c r="H941" s="31"/>
      <c r="I941" s="31"/>
      <c r="J941" s="3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31"/>
      <c r="E942" s="31"/>
      <c r="F942" s="31"/>
      <c r="G942" s="31"/>
      <c r="H942" s="31"/>
      <c r="I942" s="31"/>
      <c r="J942" s="3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31"/>
      <c r="E943" s="31"/>
      <c r="F943" s="31"/>
      <c r="G943" s="31"/>
      <c r="H943" s="31"/>
      <c r="I943" s="31"/>
      <c r="J943" s="3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31"/>
      <c r="E944" s="31"/>
      <c r="F944" s="31"/>
      <c r="G944" s="31"/>
      <c r="H944" s="31"/>
      <c r="I944" s="31"/>
      <c r="J944" s="3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31"/>
      <c r="E945" s="31"/>
      <c r="F945" s="31"/>
      <c r="G945" s="31"/>
      <c r="H945" s="31"/>
      <c r="I945" s="31"/>
      <c r="J945" s="3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31"/>
      <c r="E946" s="31"/>
      <c r="F946" s="31"/>
      <c r="G946" s="31"/>
      <c r="H946" s="31"/>
      <c r="I946" s="31"/>
      <c r="J946" s="3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31"/>
      <c r="E947" s="31"/>
      <c r="F947" s="31"/>
      <c r="G947" s="31"/>
      <c r="H947" s="31"/>
      <c r="I947" s="31"/>
      <c r="J947" s="3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31"/>
      <c r="E948" s="31"/>
      <c r="F948" s="31"/>
      <c r="G948" s="31"/>
      <c r="H948" s="31"/>
      <c r="I948" s="31"/>
      <c r="J948" s="3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31"/>
      <c r="E949" s="31"/>
      <c r="F949" s="31"/>
      <c r="G949" s="31"/>
      <c r="H949" s="31"/>
      <c r="I949" s="31"/>
      <c r="J949" s="3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31"/>
      <c r="E950" s="31"/>
      <c r="F950" s="31"/>
      <c r="G950" s="31"/>
      <c r="H950" s="31"/>
      <c r="I950" s="31"/>
      <c r="J950" s="3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31"/>
      <c r="E951" s="31"/>
      <c r="F951" s="31"/>
      <c r="G951" s="31"/>
      <c r="H951" s="31"/>
      <c r="I951" s="31"/>
      <c r="J951" s="3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31"/>
      <c r="E952" s="31"/>
      <c r="F952" s="31"/>
      <c r="G952" s="31"/>
      <c r="H952" s="31"/>
      <c r="I952" s="31"/>
      <c r="J952" s="3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31"/>
      <c r="E953" s="31"/>
      <c r="F953" s="31"/>
      <c r="G953" s="31"/>
      <c r="H953" s="31"/>
      <c r="I953" s="31"/>
      <c r="J953" s="3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31"/>
      <c r="E954" s="31"/>
      <c r="F954" s="31"/>
      <c r="G954" s="31"/>
      <c r="H954" s="31"/>
      <c r="I954" s="31"/>
      <c r="J954" s="3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31"/>
      <c r="E955" s="31"/>
      <c r="F955" s="31"/>
      <c r="G955" s="31"/>
      <c r="H955" s="31"/>
      <c r="I955" s="31"/>
      <c r="J955" s="3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31"/>
      <c r="E956" s="31"/>
      <c r="F956" s="31"/>
      <c r="G956" s="31"/>
      <c r="H956" s="31"/>
      <c r="I956" s="31"/>
      <c r="J956" s="3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31"/>
      <c r="E957" s="31"/>
      <c r="F957" s="31"/>
      <c r="G957" s="31"/>
      <c r="H957" s="31"/>
      <c r="I957" s="31"/>
      <c r="J957" s="3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31"/>
      <c r="E958" s="31"/>
      <c r="F958" s="31"/>
      <c r="G958" s="31"/>
      <c r="H958" s="31"/>
      <c r="I958" s="31"/>
      <c r="J958" s="3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31"/>
      <c r="E959" s="31"/>
      <c r="F959" s="31"/>
      <c r="G959" s="31"/>
      <c r="H959" s="31"/>
      <c r="I959" s="31"/>
      <c r="J959" s="3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31"/>
      <c r="E960" s="31"/>
      <c r="F960" s="31"/>
      <c r="G960" s="31"/>
      <c r="H960" s="31"/>
      <c r="I960" s="31"/>
      <c r="J960" s="3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31"/>
      <c r="E961" s="31"/>
      <c r="F961" s="31"/>
      <c r="G961" s="31"/>
      <c r="H961" s="31"/>
      <c r="I961" s="31"/>
      <c r="J961" s="3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31"/>
      <c r="E962" s="31"/>
      <c r="F962" s="31"/>
      <c r="G962" s="31"/>
      <c r="H962" s="31"/>
      <c r="I962" s="31"/>
      <c r="J962" s="3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31"/>
      <c r="E963" s="31"/>
      <c r="F963" s="31"/>
      <c r="G963" s="31"/>
      <c r="H963" s="31"/>
      <c r="I963" s="31"/>
      <c r="J963" s="3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31"/>
      <c r="E964" s="31"/>
      <c r="F964" s="31"/>
      <c r="G964" s="31"/>
      <c r="H964" s="31"/>
      <c r="I964" s="31"/>
      <c r="J964" s="3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31"/>
      <c r="E965" s="31"/>
      <c r="F965" s="31"/>
      <c r="G965" s="31"/>
      <c r="H965" s="31"/>
      <c r="I965" s="31"/>
      <c r="J965" s="3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31"/>
      <c r="E966" s="31"/>
      <c r="F966" s="31"/>
      <c r="G966" s="31"/>
      <c r="H966" s="31"/>
      <c r="I966" s="31"/>
      <c r="J966" s="3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31"/>
      <c r="E967" s="31"/>
      <c r="F967" s="31"/>
      <c r="G967" s="31"/>
      <c r="H967" s="31"/>
      <c r="I967" s="31"/>
      <c r="J967" s="3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31"/>
      <c r="E968" s="31"/>
      <c r="F968" s="31"/>
      <c r="G968" s="31"/>
      <c r="H968" s="31"/>
      <c r="I968" s="31"/>
      <c r="J968" s="3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31"/>
      <c r="E969" s="31"/>
      <c r="F969" s="31"/>
      <c r="G969" s="31"/>
      <c r="H969" s="31"/>
      <c r="I969" s="31"/>
      <c r="J969" s="3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31"/>
      <c r="E970" s="31"/>
      <c r="F970" s="31"/>
      <c r="G970" s="31"/>
      <c r="H970" s="31"/>
      <c r="I970" s="31"/>
      <c r="J970" s="3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31"/>
      <c r="E971" s="31"/>
      <c r="F971" s="31"/>
      <c r="G971" s="31"/>
      <c r="H971" s="31"/>
      <c r="I971" s="31"/>
      <c r="J971" s="3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31"/>
      <c r="E972" s="31"/>
      <c r="F972" s="31"/>
      <c r="G972" s="31"/>
      <c r="H972" s="31"/>
      <c r="I972" s="31"/>
      <c r="J972" s="3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31"/>
      <c r="E973" s="31"/>
      <c r="F973" s="31"/>
      <c r="G973" s="31"/>
      <c r="H973" s="31"/>
      <c r="I973" s="31"/>
      <c r="J973" s="3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31"/>
      <c r="E974" s="31"/>
      <c r="F974" s="31"/>
      <c r="G974" s="31"/>
      <c r="H974" s="31"/>
      <c r="I974" s="31"/>
      <c r="J974" s="3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31"/>
      <c r="E975" s="31"/>
      <c r="F975" s="31"/>
      <c r="G975" s="31"/>
      <c r="H975" s="31"/>
      <c r="I975" s="31"/>
      <c r="J975" s="3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31"/>
      <c r="E976" s="31"/>
      <c r="F976" s="31"/>
      <c r="G976" s="31"/>
      <c r="H976" s="31"/>
      <c r="I976" s="31"/>
      <c r="J976" s="3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31"/>
      <c r="E977" s="31"/>
      <c r="F977" s="31"/>
      <c r="G977" s="31"/>
      <c r="H977" s="31"/>
      <c r="I977" s="31"/>
      <c r="J977" s="3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31"/>
      <c r="E978" s="31"/>
      <c r="F978" s="31"/>
      <c r="G978" s="31"/>
      <c r="H978" s="31"/>
      <c r="I978" s="31"/>
      <c r="J978" s="3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31"/>
      <c r="E979" s="31"/>
      <c r="F979" s="31"/>
      <c r="G979" s="31"/>
      <c r="H979" s="31"/>
      <c r="I979" s="31"/>
      <c r="J979" s="3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31"/>
      <c r="E980" s="31"/>
      <c r="F980" s="31"/>
      <c r="G980" s="31"/>
      <c r="H980" s="31"/>
      <c r="I980" s="31"/>
      <c r="J980" s="3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31"/>
      <c r="E981" s="31"/>
      <c r="F981" s="31"/>
      <c r="G981" s="31"/>
      <c r="H981" s="31"/>
      <c r="I981" s="31"/>
      <c r="J981" s="3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31"/>
      <c r="E982" s="31"/>
      <c r="F982" s="31"/>
      <c r="G982" s="31"/>
      <c r="H982" s="31"/>
      <c r="I982" s="31"/>
      <c r="J982" s="3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31"/>
      <c r="E983" s="31"/>
      <c r="F983" s="31"/>
      <c r="G983" s="31"/>
      <c r="H983" s="31"/>
      <c r="I983" s="31"/>
      <c r="J983" s="3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31"/>
      <c r="E984" s="31"/>
      <c r="F984" s="31"/>
      <c r="G984" s="31"/>
      <c r="H984" s="31"/>
      <c r="I984" s="31"/>
      <c r="J984" s="3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31"/>
      <c r="E985" s="31"/>
      <c r="F985" s="31"/>
      <c r="G985" s="31"/>
      <c r="H985" s="31"/>
      <c r="I985" s="31"/>
      <c r="J985" s="3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31"/>
      <c r="E986" s="31"/>
      <c r="F986" s="31"/>
      <c r="G986" s="31"/>
      <c r="H986" s="31"/>
      <c r="I986" s="31"/>
      <c r="J986" s="3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31"/>
      <c r="E987" s="31"/>
      <c r="F987" s="31"/>
      <c r="G987" s="31"/>
      <c r="H987" s="31"/>
      <c r="I987" s="31"/>
      <c r="J987" s="3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31"/>
      <c r="E988" s="31"/>
      <c r="F988" s="31"/>
      <c r="G988" s="31"/>
      <c r="H988" s="31"/>
      <c r="I988" s="31"/>
      <c r="J988" s="3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31"/>
      <c r="E989" s="31"/>
      <c r="F989" s="31"/>
      <c r="G989" s="31"/>
      <c r="H989" s="31"/>
      <c r="I989" s="31"/>
      <c r="J989" s="3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31"/>
      <c r="E990" s="31"/>
      <c r="F990" s="31"/>
      <c r="G990" s="31"/>
      <c r="H990" s="31"/>
      <c r="I990" s="31"/>
      <c r="J990" s="3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31"/>
      <c r="E991" s="31"/>
      <c r="F991" s="31"/>
      <c r="G991" s="31"/>
      <c r="H991" s="31"/>
      <c r="I991" s="31"/>
      <c r="J991" s="3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31"/>
      <c r="E992" s="31"/>
      <c r="F992" s="31"/>
      <c r="G992" s="31"/>
      <c r="H992" s="31"/>
      <c r="I992" s="31"/>
      <c r="J992" s="3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31"/>
      <c r="E993" s="31"/>
      <c r="F993" s="31"/>
      <c r="G993" s="31"/>
      <c r="H993" s="31"/>
      <c r="I993" s="31"/>
      <c r="J993" s="3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31"/>
      <c r="E994" s="31"/>
      <c r="F994" s="31"/>
      <c r="G994" s="31"/>
      <c r="H994" s="31"/>
      <c r="I994" s="31"/>
      <c r="J994" s="3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31"/>
      <c r="E995" s="31"/>
      <c r="F995" s="31"/>
      <c r="G995" s="31"/>
      <c r="H995" s="31"/>
      <c r="I995" s="31"/>
      <c r="J995" s="3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31"/>
      <c r="E996" s="31"/>
      <c r="F996" s="31"/>
      <c r="G996" s="31"/>
      <c r="H996" s="31"/>
      <c r="I996" s="31"/>
      <c r="J996" s="3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31"/>
      <c r="E997" s="31"/>
      <c r="F997" s="31"/>
      <c r="G997" s="31"/>
      <c r="H997" s="31"/>
      <c r="I997" s="31"/>
      <c r="J997" s="3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31"/>
      <c r="E998" s="31"/>
      <c r="F998" s="31"/>
      <c r="G998" s="31"/>
      <c r="H998" s="31"/>
      <c r="I998" s="31"/>
      <c r="J998" s="3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31"/>
      <c r="E999" s="31"/>
      <c r="F999" s="31"/>
      <c r="G999" s="31"/>
      <c r="H999" s="31"/>
      <c r="I999" s="31"/>
      <c r="J999" s="3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31"/>
      <c r="E1000" s="31"/>
      <c r="F1000" s="31"/>
      <c r="G1000" s="31"/>
      <c r="H1000" s="31"/>
      <c r="I1000" s="31"/>
      <c r="J1000" s="3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31"/>
      <c r="E1001" s="31"/>
      <c r="F1001" s="31"/>
      <c r="G1001" s="31"/>
      <c r="H1001" s="31"/>
      <c r="I1001" s="31"/>
      <c r="J1001" s="31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31"/>
      <c r="E1002" s="31"/>
      <c r="F1002" s="31"/>
      <c r="G1002" s="31"/>
      <c r="H1002" s="31"/>
      <c r="I1002" s="31"/>
      <c r="J1002" s="31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J2"/>
    <mergeCell ref="A3:J3"/>
    <mergeCell ref="D66:E66"/>
    <mergeCell ref="D67:E67"/>
  </mergeCells>
  <drawing r:id="rId1"/>
</worksheet>
</file>